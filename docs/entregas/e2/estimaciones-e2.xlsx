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rjetas E2" sheetId="1" state="visible" r:id="rId1"/>
    <sheet xmlns:r="http://schemas.openxmlformats.org/officeDocument/2006/relationships"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4" customWidth="1" min="2" max="2"/>
    <col width="8" customWidth="1" min="3" max="3"/>
    <col width="15" customWidth="1" min="4" max="4"/>
    <col width="18" customWidth="1" min="5" max="5"/>
    <col width="18" customWidth="1" min="6" max="6"/>
    <col width="13" customWidth="1" min="7" max="7"/>
    <col width="13" customWidth="1" min="8" max="8"/>
    <col width="10" customWidth="1" min="9" max="9"/>
    <col width="10" customWidth="1" min="10" max="10"/>
    <col width="22" customWidth="1" min="11" max="11"/>
    <col width="14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ID</t>
        </is>
      </c>
      <c r="B1" s="1" t="inlineStr">
        <is>
          <t>Título</t>
        </is>
      </c>
      <c r="C1" s="1" t="inlineStr">
        <is>
          <t>Semana</t>
        </is>
      </c>
      <c r="D1" s="1" t="inlineStr">
        <is>
          <t>Tipo</t>
        </is>
      </c>
      <c r="E1" s="1" t="inlineStr">
        <is>
          <t>Responsable</t>
        </is>
      </c>
      <c r="F1" s="1" t="inlineStr">
        <is>
          <t>Revisor</t>
        </is>
      </c>
      <c r="G1" s="1" t="inlineStr">
        <is>
          <t>Inicio previsto</t>
        </is>
      </c>
      <c r="H1" s="1" t="inlineStr">
        <is>
          <t>Vencimiento</t>
        </is>
      </c>
      <c r="I1" s="1" t="inlineStr">
        <is>
          <t>Horas responsable</t>
        </is>
      </c>
      <c r="J1" s="1" t="inlineStr">
        <is>
          <t>Horas equipo</t>
        </is>
      </c>
      <c r="K1" s="1" t="inlineStr">
        <is>
          <t>Estado</t>
        </is>
      </c>
      <c r="L1" s="1" t="inlineStr">
        <is>
          <t>Cierre (GitHub)</t>
        </is>
      </c>
      <c r="M1" s="1" t="inlineStr">
        <is>
          <t>Horas reales equipo</t>
        </is>
      </c>
      <c r="N1" s="1" t="inlineStr">
        <is>
          <t>Inicio real</t>
        </is>
      </c>
      <c r="O1" s="1" t="inlineStr">
        <is>
          <t>Cierre real</t>
        </is>
      </c>
    </row>
    <row r="2">
      <c r="A2" t="inlineStr">
        <is>
          <t>K001</t>
        </is>
      </c>
      <c r="B2" t="inlineStr">
        <is>
          <t>Configurar repositorio y reglas de integración</t>
        </is>
      </c>
      <c r="C2" t="inlineStr">
        <is>
          <t>S01</t>
        </is>
      </c>
      <c r="D2" t="inlineStr">
        <is>
          <t>Infraestructura</t>
        </is>
      </c>
      <c r="E2" t="inlineStr">
        <is>
          <t>Clemente Acevedo</t>
        </is>
      </c>
      <c r="F2" t="inlineStr">
        <is>
          <t>Felipe Arnolds</t>
        </is>
      </c>
      <c r="G2" t="inlineStr">
        <is>
          <t>2026-09-14</t>
        </is>
      </c>
      <c r="H2" t="inlineStr">
        <is>
          <t>2026-09-14</t>
        </is>
      </c>
      <c r="I2" t="n">
        <v>2</v>
      </c>
      <c r="J2" t="n">
        <v>2.5</v>
      </c>
      <c r="K2" t="inlineStr">
        <is>
          <t>Cerrada</t>
        </is>
      </c>
      <c r="L2" t="inlineStr">
        <is>
          <t>2026-09-15</t>
        </is>
      </c>
      <c r="M2" s="2" t="n"/>
      <c r="N2" s="2" t="n"/>
      <c r="O2" s="2" t="n"/>
    </row>
    <row r="3">
      <c r="A3" t="inlineStr">
        <is>
          <t>K002</t>
        </is>
      </c>
      <c r="B3" t="inlineStr">
        <is>
          <t>Elegir gestor y probar una migración</t>
        </is>
      </c>
      <c r="C3" t="inlineStr">
        <is>
          <t>S01</t>
        </is>
      </c>
      <c r="D3" t="inlineStr">
        <is>
          <t>Análisis</t>
        </is>
      </c>
      <c r="E3" t="inlineStr">
        <is>
          <t>Felipe Arnolds</t>
        </is>
      </c>
      <c r="F3" t="inlineStr">
        <is>
          <t>Jorge Molina</t>
        </is>
      </c>
      <c r="G3" t="inlineStr">
        <is>
          <t>2026-09-15</t>
        </is>
      </c>
      <c r="H3" t="inlineStr">
        <is>
          <t>2026-09-16</t>
        </is>
      </c>
      <c r="I3" t="n">
        <v>3</v>
      </c>
      <c r="J3" t="n">
        <v>3.5</v>
      </c>
      <c r="K3" t="inlineStr">
        <is>
          <t>Cerrada</t>
        </is>
      </c>
      <c r="L3" t="inlineStr">
        <is>
          <t>2026-09-20</t>
        </is>
      </c>
      <c r="M3" s="2" t="n"/>
      <c r="N3" s="2" t="n"/>
      <c r="O3" s="2" t="n"/>
    </row>
    <row r="4">
      <c r="A4" t="inlineStr">
        <is>
          <t>K003</t>
        </is>
      </c>
      <c r="B4" t="inlineStr">
        <is>
          <t>Preparar la base y el modelo inicial</t>
        </is>
      </c>
      <c r="C4" t="inlineStr">
        <is>
          <t>S01</t>
        </is>
      </c>
      <c r="D4" t="inlineStr">
        <is>
          <t>Desarrollo</t>
        </is>
      </c>
      <c r="E4" t="inlineStr">
        <is>
          <t>Clemente Acevedo</t>
        </is>
      </c>
      <c r="F4" t="inlineStr">
        <is>
          <t>Felipe Arnolds</t>
        </is>
      </c>
      <c r="G4" t="inlineStr">
        <is>
          <t>2026-09-17</t>
        </is>
      </c>
      <c r="H4" t="inlineStr">
        <is>
          <t>2026-09-17</t>
        </is>
      </c>
      <c r="I4" t="n">
        <v>3</v>
      </c>
      <c r="J4" t="n">
        <v>3.5</v>
      </c>
      <c r="K4" t="inlineStr">
        <is>
          <t>Cerrada</t>
        </is>
      </c>
      <c r="L4" t="inlineStr">
        <is>
          <t>2026-09-20</t>
        </is>
      </c>
      <c r="M4" s="2" t="n"/>
      <c r="N4" s="2" t="n"/>
      <c r="O4" s="2" t="n"/>
    </row>
    <row r="5">
      <c r="A5" t="inlineStr">
        <is>
          <t>K004</t>
        </is>
      </c>
      <c r="B5" t="inlineStr">
        <is>
          <t>Construir la estructura de navegación web</t>
        </is>
      </c>
      <c r="C5" t="inlineStr">
        <is>
          <t>S01</t>
        </is>
      </c>
      <c r="D5" t="inlineStr">
        <is>
          <t>Desarrollo</t>
        </is>
      </c>
      <c r="E5" t="inlineStr">
        <is>
          <t>Jorge Molina</t>
        </is>
      </c>
      <c r="F5" t="inlineStr">
        <is>
          <t>Felipe Arnolds</t>
        </is>
      </c>
      <c r="G5" t="inlineStr">
        <is>
          <t>2026-09-15</t>
        </is>
      </c>
      <c r="H5" t="inlineStr">
        <is>
          <t>2026-09-17</t>
        </is>
      </c>
      <c r="I5" t="n">
        <v>4</v>
      </c>
      <c r="J5" t="n">
        <v>4.5</v>
      </c>
      <c r="K5" t="inlineStr">
        <is>
          <t>Cerrada</t>
        </is>
      </c>
      <c r="L5" t="inlineStr">
        <is>
          <t>2026-09-15</t>
        </is>
      </c>
      <c r="M5" s="2" t="n"/>
      <c r="N5" s="2" t="n"/>
      <c r="O5" s="2" t="n"/>
    </row>
    <row r="6">
      <c r="A6" t="inlineStr">
        <is>
          <t>K005</t>
        </is>
      </c>
      <c r="B6" t="inlineStr">
        <is>
          <t>Resolver almacenamiento y prototipo de fotos</t>
        </is>
      </c>
      <c r="C6" t="inlineStr">
        <is>
          <t>S01</t>
        </is>
      </c>
      <c r="D6" t="inlineStr">
        <is>
          <t>Análisis</t>
        </is>
      </c>
      <c r="E6" t="inlineStr">
        <is>
          <t>Felipe Espinoza</t>
        </is>
      </c>
      <c r="F6" t="inlineStr">
        <is>
          <t>Vicente Reñasco</t>
        </is>
      </c>
      <c r="G6" t="inlineStr">
        <is>
          <t>2026-09-15</t>
        </is>
      </c>
      <c r="H6" t="inlineStr">
        <is>
          <t>2026-09-16</t>
        </is>
      </c>
      <c r="I6" t="n">
        <v>3</v>
      </c>
      <c r="J6" t="n">
        <v>3.5</v>
      </c>
      <c r="K6" t="inlineStr">
        <is>
          <t>Cerrada</t>
        </is>
      </c>
      <c r="L6" t="inlineStr">
        <is>
          <t>2026-09-20</t>
        </is>
      </c>
      <c r="M6" s="2" t="n"/>
      <c r="N6" s="2" t="n"/>
      <c r="O6" s="2" t="n"/>
    </row>
    <row r="7">
      <c r="A7" t="inlineStr">
        <is>
          <t>K006</t>
        </is>
      </c>
      <c r="B7" t="inlineStr">
        <is>
          <t>Preparar Docker Compose y CI inicial</t>
        </is>
      </c>
      <c r="C7" t="inlineStr">
        <is>
          <t>S01</t>
        </is>
      </c>
      <c r="D7" t="inlineStr">
        <is>
          <t>Infraestructura</t>
        </is>
      </c>
      <c r="E7" t="inlineStr">
        <is>
          <t>Vicente Reñasco</t>
        </is>
      </c>
      <c r="F7" t="inlineStr">
        <is>
          <t>Jorge Molina</t>
        </is>
      </c>
      <c r="G7" t="inlineStr">
        <is>
          <t>2026-09-15</t>
        </is>
      </c>
      <c r="H7" t="inlineStr">
        <is>
          <t>2026-09-17</t>
        </is>
      </c>
      <c r="I7" t="n">
        <v>4</v>
      </c>
      <c r="J7" t="n">
        <v>4.5</v>
      </c>
      <c r="K7" t="inlineStr">
        <is>
          <t>Cerrada</t>
        </is>
      </c>
      <c r="L7" t="inlineStr">
        <is>
          <t>2026-09-20</t>
        </is>
      </c>
      <c r="M7" s="2" t="n"/>
      <c r="N7" s="2" t="n"/>
      <c r="O7" s="2" t="n"/>
    </row>
    <row r="8">
      <c r="A8" t="inlineStr">
        <is>
          <t>K007</t>
        </is>
      </c>
      <c r="B8" t="inlineStr">
        <is>
          <t>Crear tablero y criterios comunes</t>
        </is>
      </c>
      <c r="C8" t="inlineStr">
        <is>
          <t>S01</t>
        </is>
      </c>
      <c r="D8" t="inlineStr">
        <is>
          <t>Gestión</t>
        </is>
      </c>
      <c r="E8" t="inlineStr">
        <is>
          <t>Felipe Espinoza</t>
        </is>
      </c>
      <c r="F8" t="inlineStr">
        <is>
          <t>Felipe Arnolds</t>
        </is>
      </c>
      <c r="G8" t="inlineStr">
        <is>
          <t>2026-09-17</t>
        </is>
      </c>
      <c r="H8" t="inlineStr">
        <is>
          <t>2026-09-17</t>
        </is>
      </c>
      <c r="I8" t="n">
        <v>1.5</v>
      </c>
      <c r="J8" t="n">
        <v>1.75</v>
      </c>
      <c r="K8" t="inlineStr">
        <is>
          <t>Cerrada</t>
        </is>
      </c>
      <c r="L8" t="inlineStr">
        <is>
          <t>2026-09-20</t>
        </is>
      </c>
      <c r="M8" s="2" t="n"/>
      <c r="N8" s="2" t="n"/>
      <c r="O8" s="2" t="n"/>
    </row>
    <row r="9">
      <c r="A9" t="inlineStr">
        <is>
          <t>K008</t>
        </is>
      </c>
      <c r="B9" t="inlineStr">
        <is>
          <t>Implementar sesión y permisos del backend</t>
        </is>
      </c>
      <c r="C9" t="inlineStr">
        <is>
          <t>S02</t>
        </is>
      </c>
      <c r="D9" t="inlineStr">
        <is>
          <t>Desarrollo</t>
        </is>
      </c>
      <c r="E9" t="inlineStr">
        <is>
          <t>Clemente Acevedo</t>
        </is>
      </c>
      <c r="F9" t="inlineStr">
        <is>
          <t>Felipe Espinoza</t>
        </is>
      </c>
      <c r="G9" t="inlineStr">
        <is>
          <t>2026-09-21</t>
        </is>
      </c>
      <c r="H9" t="inlineStr">
        <is>
          <t>2026-09-24</t>
        </is>
      </c>
      <c r="I9" t="n">
        <v>3.5</v>
      </c>
      <c r="J9" t="n">
        <v>4</v>
      </c>
      <c r="K9" t="inlineStr">
        <is>
          <t>Cerrada</t>
        </is>
      </c>
      <c r="L9" t="inlineStr">
        <is>
          <t>2026-09-21</t>
        </is>
      </c>
      <c r="M9" s="2" t="n"/>
      <c r="N9" s="2" t="n"/>
      <c r="O9" s="2" t="n"/>
    </row>
    <row r="10">
      <c r="A10" t="inlineStr">
        <is>
          <t>K009</t>
        </is>
      </c>
      <c r="B10" t="inlineStr">
        <is>
          <t>Integrar registro y sesión en la web</t>
        </is>
      </c>
      <c r="C10" t="inlineStr">
        <is>
          <t>S02</t>
        </is>
      </c>
      <c r="D10" t="inlineStr">
        <is>
          <t>Desarrollo</t>
        </is>
      </c>
      <c r="E10" t="inlineStr">
        <is>
          <t>Jorge Molina</t>
        </is>
      </c>
      <c r="F10" t="inlineStr">
        <is>
          <t>Vicente Reñasco</t>
        </is>
      </c>
      <c r="G10" t="inlineStr">
        <is>
          <t>2026-09-21</t>
        </is>
      </c>
      <c r="H10" t="inlineStr">
        <is>
          <t>2026-09-25</t>
        </is>
      </c>
      <c r="I10" t="n">
        <v>3</v>
      </c>
      <c r="J10" t="n">
        <v>3.5</v>
      </c>
      <c r="K10" t="inlineStr">
        <is>
          <t>Cerrada</t>
        </is>
      </c>
      <c r="L10" t="inlineStr">
        <is>
          <t>2026-09-22</t>
        </is>
      </c>
      <c r="M10" s="2" t="n"/>
      <c r="N10" s="2" t="n"/>
      <c r="O10" s="2" t="n"/>
    </row>
    <row r="11">
      <c r="A11" t="inlineStr">
        <is>
          <t>K010</t>
        </is>
      </c>
      <c r="B11" t="inlineStr">
        <is>
          <t>Implementar borrador y publicación de lotes</t>
        </is>
      </c>
      <c r="C11" t="inlineStr">
        <is>
          <t>S02</t>
        </is>
      </c>
      <c r="D11" t="inlineStr">
        <is>
          <t>Desarrollo</t>
        </is>
      </c>
      <c r="E11" t="inlineStr">
        <is>
          <t>Felipe Arnolds</t>
        </is>
      </c>
      <c r="F11" t="inlineStr">
        <is>
          <t>Clemente Acevedo</t>
        </is>
      </c>
      <c r="G11" t="inlineStr">
        <is>
          <t>2026-09-21</t>
        </is>
      </c>
      <c r="H11" t="inlineStr">
        <is>
          <t>2026-09-24</t>
        </is>
      </c>
      <c r="I11" t="n">
        <v>3.5</v>
      </c>
      <c r="J11" t="n">
        <v>4</v>
      </c>
      <c r="K11" t="inlineStr">
        <is>
          <t>Cerrada</t>
        </is>
      </c>
      <c r="L11" t="inlineStr">
        <is>
          <t>2026-09-21</t>
        </is>
      </c>
      <c r="M11" s="2" t="n"/>
      <c r="N11" s="2" t="n"/>
      <c r="O11" s="2" t="n"/>
    </row>
    <row r="12">
      <c r="A12" t="inlineStr">
        <is>
          <t>K011</t>
        </is>
      </c>
      <c r="B12" t="inlineStr">
        <is>
          <t>Construir formulario de lote del operador</t>
        </is>
      </c>
      <c r="C12" t="inlineStr">
        <is>
          <t>S02</t>
        </is>
      </c>
      <c r="D12" t="inlineStr">
        <is>
          <t>Desarrollo</t>
        </is>
      </c>
      <c r="E12" t="inlineStr">
        <is>
          <t>Felipe Espinoza</t>
        </is>
      </c>
      <c r="F12" t="inlineStr">
        <is>
          <t>Felipe Arnolds</t>
        </is>
      </c>
      <c r="G12" t="inlineStr">
        <is>
          <t>2026-09-21</t>
        </is>
      </c>
      <c r="H12" t="inlineStr">
        <is>
          <t>2026-09-25</t>
        </is>
      </c>
      <c r="I12" t="n">
        <v>3</v>
      </c>
      <c r="J12" t="n">
        <v>3.5</v>
      </c>
      <c r="K12" t="inlineStr">
        <is>
          <t>Cerrada</t>
        </is>
      </c>
      <c r="L12" t="inlineStr">
        <is>
          <t>2026-09-27</t>
        </is>
      </c>
      <c r="M12" s="2" t="n"/>
      <c r="N12" s="2" t="n"/>
      <c r="O12" s="2" t="n"/>
    </row>
    <row r="13">
      <c r="A13" t="inlineStr">
        <is>
          <t>K012</t>
        </is>
      </c>
      <c r="B13" t="inlineStr">
        <is>
          <t>Probar identidad y publicación con datos semilla</t>
        </is>
      </c>
      <c r="C13" t="inlineStr">
        <is>
          <t>S02</t>
        </is>
      </c>
      <c r="D13" t="inlineStr">
        <is>
          <t>Pruebas</t>
        </is>
      </c>
      <c r="E13" t="inlineStr">
        <is>
          <t>Vicente Reñasco</t>
        </is>
      </c>
      <c r="F13" t="inlineStr">
        <is>
          <t>Felipe Espinoza</t>
        </is>
      </c>
      <c r="G13" t="inlineStr">
        <is>
          <t>2026-09-25</t>
        </is>
      </c>
      <c r="H13" t="inlineStr">
        <is>
          <t>2026-09-26</t>
        </is>
      </c>
      <c r="I13" t="n">
        <v>3</v>
      </c>
      <c r="J13" t="n">
        <v>3.5</v>
      </c>
      <c r="K13" t="inlineStr">
        <is>
          <t>Cerrada</t>
        </is>
      </c>
      <c r="L13" t="inlineStr">
        <is>
          <t>2026-09-27</t>
        </is>
      </c>
      <c r="M13" s="2" t="n"/>
      <c r="N13" s="2" t="n"/>
      <c r="O13" s="2" t="n"/>
    </row>
    <row r="14">
      <c r="A14" t="inlineStr">
        <is>
          <t>K013</t>
        </is>
      </c>
      <c r="B14" t="inlineStr">
        <is>
          <t>Actualizar dominio y casos de uso para E2</t>
        </is>
      </c>
      <c r="C14" t="inlineStr">
        <is>
          <t>S02</t>
        </is>
      </c>
      <c r="D14" t="inlineStr">
        <is>
          <t>Documentación</t>
        </is>
      </c>
      <c r="E14" t="inlineStr">
        <is>
          <t>Jorge Molina</t>
        </is>
      </c>
      <c r="F14" t="inlineStr">
        <is>
          <t>Vicente Reñasco</t>
        </is>
      </c>
      <c r="G14" t="inlineStr">
        <is>
          <t>2026-09-25</t>
        </is>
      </c>
      <c r="H14" t="inlineStr">
        <is>
          <t>2026-09-26</t>
        </is>
      </c>
      <c r="I14" t="n">
        <v>1</v>
      </c>
      <c r="J14" t="n">
        <v>1.25</v>
      </c>
      <c r="K14" t="inlineStr">
        <is>
          <t>Cerrada</t>
        </is>
      </c>
      <c r="L14" t="inlineStr">
        <is>
          <t>2026-09-21</t>
        </is>
      </c>
      <c r="M14" s="2" t="n"/>
      <c r="N14" s="2" t="n"/>
      <c r="O14" s="2" t="n"/>
    </row>
    <row r="15">
      <c r="A15" t="inlineStr">
        <is>
          <t>K014</t>
        </is>
      </c>
      <c r="B15" t="inlineStr">
        <is>
          <t>Completar validación y ciclo de fotos</t>
        </is>
      </c>
      <c r="C15" t="inlineStr">
        <is>
          <t>S03</t>
        </is>
      </c>
      <c r="D15" t="inlineStr">
        <is>
          <t>Desarrollo</t>
        </is>
      </c>
      <c r="E15" t="inlineStr">
        <is>
          <t>Felipe Arnolds</t>
        </is>
      </c>
      <c r="F15" t="inlineStr">
        <is>
          <t>Jorge Molina</t>
        </is>
      </c>
      <c r="G15" t="inlineStr">
        <is>
          <t>2026-09-28</t>
        </is>
      </c>
      <c r="H15" t="inlineStr">
        <is>
          <t>2026-09-30</t>
        </is>
      </c>
      <c r="I15" t="n">
        <v>3</v>
      </c>
      <c r="J15" t="n">
        <v>3.5</v>
      </c>
      <c r="K15" t="inlineStr">
        <is>
          <t>Cerrada</t>
        </is>
      </c>
      <c r="L15" t="inlineStr">
        <is>
          <t>2026-10-01</t>
        </is>
      </c>
      <c r="M15" s="2" t="n"/>
      <c r="N15" s="2" t="n"/>
      <c r="O15" s="2" t="n"/>
    </row>
    <row r="16">
      <c r="A16" t="inlineStr">
        <is>
          <t>K015</t>
        </is>
      </c>
      <c r="B16" t="inlineStr">
        <is>
          <t>Implementar búsqueda cercana y reserva inicial</t>
        </is>
      </c>
      <c r="C16" t="inlineStr">
        <is>
          <t>S03</t>
        </is>
      </c>
      <c r="D16" t="inlineStr">
        <is>
          <t>Desarrollo</t>
        </is>
      </c>
      <c r="E16" t="inlineStr">
        <is>
          <t>Clemente Acevedo</t>
        </is>
      </c>
      <c r="F16" t="inlineStr">
        <is>
          <t>Vicente Reñasco</t>
        </is>
      </c>
      <c r="G16" t="inlineStr">
        <is>
          <t>2026-09-28</t>
        </is>
      </c>
      <c r="H16" t="inlineStr">
        <is>
          <t>2026-09-30</t>
        </is>
      </c>
      <c r="I16" t="n">
        <v>3.5</v>
      </c>
      <c r="J16" t="n">
        <v>4</v>
      </c>
      <c r="K16" t="inlineStr">
        <is>
          <t>Cerrada</t>
        </is>
      </c>
      <c r="L16" t="inlineStr">
        <is>
          <t>2026-09-30</t>
        </is>
      </c>
      <c r="M16" s="2" t="n"/>
      <c r="N16" s="2" t="n"/>
      <c r="O16" s="2" t="n"/>
    </row>
    <row r="17">
      <c r="A17" t="inlineStr">
        <is>
          <t>K016</t>
        </is>
      </c>
      <c r="B17" t="inlineStr">
        <is>
          <t>Integrar búsqueda y detalle del lote</t>
        </is>
      </c>
      <c r="C17" t="inlineStr">
        <is>
          <t>S03</t>
        </is>
      </c>
      <c r="D17" t="inlineStr">
        <is>
          <t>Desarrollo</t>
        </is>
      </c>
      <c r="E17" t="inlineStr">
        <is>
          <t>Jorge Molina</t>
        </is>
      </c>
      <c r="F17" t="inlineStr">
        <is>
          <t>Clemente Acevedo</t>
        </is>
      </c>
      <c r="G17" t="inlineStr">
        <is>
          <t>2026-09-28</t>
        </is>
      </c>
      <c r="H17" t="inlineStr">
        <is>
          <t>2026-10-01</t>
        </is>
      </c>
      <c r="I17" t="n">
        <v>3</v>
      </c>
      <c r="J17" t="n">
        <v>3.5</v>
      </c>
      <c r="K17" t="inlineStr">
        <is>
          <t>Cerrada</t>
        </is>
      </c>
      <c r="L17" t="inlineStr">
        <is>
          <t>2026-09-30</t>
        </is>
      </c>
      <c r="M17" s="2" t="n"/>
      <c r="N17" s="2" t="n"/>
      <c r="O17" s="2" t="n"/>
    </row>
    <row r="18">
      <c r="A18" t="inlineStr">
        <is>
          <t>K017</t>
        </is>
      </c>
      <c r="B18" t="inlineStr">
        <is>
          <t>Integrar fotos en publicación y panel</t>
        </is>
      </c>
      <c r="C18" t="inlineStr">
        <is>
          <t>S03</t>
        </is>
      </c>
      <c r="D18" t="inlineStr">
        <is>
          <t>Desarrollo</t>
        </is>
      </c>
      <c r="E18" t="inlineStr">
        <is>
          <t>Felipe Espinoza</t>
        </is>
      </c>
      <c r="F18" t="inlineStr">
        <is>
          <t>Jorge Molina</t>
        </is>
      </c>
      <c r="G18" t="inlineStr">
        <is>
          <t>2026-09-28</t>
        </is>
      </c>
      <c r="H18" t="inlineStr">
        <is>
          <t>2026-10-01</t>
        </is>
      </c>
      <c r="I18" t="n">
        <v>2.5</v>
      </c>
      <c r="J18" t="n">
        <v>3</v>
      </c>
      <c r="K18" t="inlineStr">
        <is>
          <t>Abierta</t>
        </is>
      </c>
      <c r="M18" s="2" t="n"/>
      <c r="N18" s="2" t="n"/>
      <c r="O18" s="2" t="n"/>
    </row>
    <row r="19">
      <c r="A19" t="inlineStr">
        <is>
          <t>K018</t>
        </is>
      </c>
      <c r="B19" t="inlineStr">
        <is>
          <t>Desplegar Walking Skeleton con migraciones</t>
        </is>
      </c>
      <c r="C19" t="inlineStr">
        <is>
          <t>S03</t>
        </is>
      </c>
      <c r="D19" t="inlineStr">
        <is>
          <t>Infraestructura</t>
        </is>
      </c>
      <c r="E19" t="inlineStr">
        <is>
          <t>Vicente Reñasco</t>
        </is>
      </c>
      <c r="F19" t="inlineStr">
        <is>
          <t>Felipe Espinoza</t>
        </is>
      </c>
      <c r="G19" t="inlineStr">
        <is>
          <t>2026-09-28</t>
        </is>
      </c>
      <c r="H19" t="inlineStr">
        <is>
          <t>2026-10-01</t>
        </is>
      </c>
      <c r="I19" t="n">
        <v>3</v>
      </c>
      <c r="J19" t="n">
        <v>3.5</v>
      </c>
      <c r="K19" t="inlineStr">
        <is>
          <t>Cerrada</t>
        </is>
      </c>
      <c r="L19" t="inlineStr">
        <is>
          <t>2026-09-30</t>
        </is>
      </c>
      <c r="M19" s="2" t="n"/>
      <c r="N19" s="2" t="n"/>
      <c r="O19" s="2" t="n"/>
    </row>
    <row r="20">
      <c r="A20" t="inlineStr">
        <is>
          <t>K019</t>
        </is>
      </c>
      <c r="B20" t="inlineStr">
        <is>
          <t>Preparar modelos y presentación de E2</t>
        </is>
      </c>
      <c r="C20" t="inlineStr">
        <is>
          <t>S03</t>
        </is>
      </c>
      <c r="D20" t="inlineStr">
        <is>
          <t>Entrega</t>
        </is>
      </c>
      <c r="E20" t="inlineStr">
        <is>
          <t>Felipe Arnolds</t>
        </is>
      </c>
      <c r="F20" t="inlineStr">
        <is>
          <t>Vicente Reñasco</t>
        </is>
      </c>
      <c r="G20" t="inlineStr">
        <is>
          <t>2026-10-01</t>
        </is>
      </c>
      <c r="H20" t="inlineStr">
        <is>
          <t>2026-10-02</t>
        </is>
      </c>
      <c r="I20" t="n">
        <v>1.5</v>
      </c>
      <c r="J20" t="n">
        <v>1.75</v>
      </c>
      <c r="K20" t="inlineStr">
        <is>
          <t>Abierta (en revisión)</t>
        </is>
      </c>
      <c r="M20" s="2" t="n"/>
      <c r="N20" s="2" t="n"/>
      <c r="O20" s="2" t="n"/>
    </row>
    <row r="21">
      <c r="A21" t="inlineStr">
        <is>
          <t>K020</t>
        </is>
      </c>
      <c r="B21" t="inlineStr">
        <is>
          <t>Revisar y enviar el paquete de E2</t>
        </is>
      </c>
      <c r="C21" t="inlineStr">
        <is>
          <t>S03</t>
        </is>
      </c>
      <c r="D21" t="inlineStr">
        <is>
          <t>Entrega</t>
        </is>
      </c>
      <c r="E21" t="inlineStr">
        <is>
          <t>Felipe Espinoza</t>
        </is>
      </c>
      <c r="F21" t="inlineStr">
        <is>
          <t>Vicente Reñasco</t>
        </is>
      </c>
      <c r="G21" t="inlineStr">
        <is>
          <t>2026-10-03</t>
        </is>
      </c>
      <c r="H21" t="inlineStr">
        <is>
          <t>2026-10-03</t>
        </is>
      </c>
      <c r="I21" t="n">
        <v>1</v>
      </c>
      <c r="J21" t="n">
        <v>1.25</v>
      </c>
      <c r="K21" t="inlineStr">
        <is>
          <t>Abierta</t>
        </is>
      </c>
      <c r="M21" s="2" t="n"/>
      <c r="N21" s="2" t="n"/>
      <c r="O21" s="2" t="n"/>
    </row>
    <row r="22"/>
    <row r="23">
      <c r="A23" s="3" t="inlineStr">
        <is>
          <t>Total</t>
        </is>
      </c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>
        <f>SUM(I2:I21)</f>
        <v/>
      </c>
      <c r="J23" s="3">
        <f>SUM(J2:J21)</f>
        <v/>
      </c>
      <c r="K23" s="3" t="n"/>
      <c r="L23" s="3" t="n"/>
      <c r="M23" s="3" t="n"/>
      <c r="N23" s="3" t="n"/>
      <c r="O23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2" customWidth="1" min="4" max="4"/>
    <col width="10" customWidth="1" min="5" max="5"/>
  </cols>
  <sheetData>
    <row r="1">
      <c r="A1" s="4" t="inlineStr">
        <is>
          <t>Semana</t>
        </is>
      </c>
      <c r="B1" s="4" t="inlineStr">
        <is>
          <t>Horas equipo</t>
        </is>
      </c>
      <c r="C1" s="4" t="inlineStr">
        <is>
          <t>Cerradas</t>
        </is>
      </c>
      <c r="D1" s="4" t="inlineStr">
        <is>
          <t>Abiertas</t>
        </is>
      </c>
      <c r="E1" s="4" t="inlineStr">
        <is>
          <t>Tarjetas</t>
        </is>
      </c>
    </row>
    <row r="2">
      <c r="A2" t="inlineStr">
        <is>
          <t>S01</t>
        </is>
      </c>
      <c r="B2">
        <f>SUMIFS('Tarjetas E2'!J:J,'Tarjetas E2'!C:C,"S01")</f>
        <v/>
      </c>
      <c r="C2">
        <f>SUMIFS('Tarjetas E2'!J:J,'Tarjetas E2'!C:C,"S01",'Tarjetas E2'!K:K,"Cerrada")</f>
        <v/>
      </c>
      <c r="D2">
        <f>B2-C2</f>
        <v/>
      </c>
      <c r="E2">
        <f>COUNTIF('Tarjetas E2'!C:C,"S01")</f>
        <v/>
      </c>
    </row>
    <row r="3">
      <c r="A3" t="inlineStr">
        <is>
          <t>S02</t>
        </is>
      </c>
      <c r="B3">
        <f>SUMIFS('Tarjetas E2'!J:J,'Tarjetas E2'!C:C,"S02")</f>
        <v/>
      </c>
      <c r="C3">
        <f>SUMIFS('Tarjetas E2'!J:J,'Tarjetas E2'!C:C,"S02",'Tarjetas E2'!K:K,"Cerrada")</f>
        <v/>
      </c>
      <c r="D3">
        <f>B3-C3</f>
        <v/>
      </c>
      <c r="E3">
        <f>COUNTIF('Tarjetas E2'!C:C,"S02")</f>
        <v/>
      </c>
    </row>
    <row r="4">
      <c r="A4" t="inlineStr">
        <is>
          <t>S03</t>
        </is>
      </c>
      <c r="B4">
        <f>SUMIFS('Tarjetas E2'!J:J,'Tarjetas E2'!C:C,"S03")</f>
        <v/>
      </c>
      <c r="C4">
        <f>SUMIFS('Tarjetas E2'!J:J,'Tarjetas E2'!C:C,"S03",'Tarjetas E2'!K:K,"Cerrada")</f>
        <v/>
      </c>
      <c r="D4">
        <f>B4-C4</f>
        <v/>
      </c>
      <c r="E4">
        <f>COUNTIF('Tarjetas E2'!C:C,"S03")</f>
        <v/>
      </c>
    </row>
    <row r="5">
      <c r="A5" t="inlineStr">
        <is>
          <t>Total</t>
        </is>
      </c>
      <c r="B5">
        <f>SUM(B2:B4)</f>
        <v/>
      </c>
      <c r="C5">
        <f>SUM(C2:C4)</f>
        <v/>
      </c>
      <c r="D5">
        <f>SUM(D2:D4)</f>
        <v/>
      </c>
      <c r="E5">
        <f>SUM(E2:E4)</f>
        <v/>
      </c>
    </row>
    <row r="7">
      <c r="A7" s="4" t="inlineStr">
        <is>
          <t>Responsable</t>
        </is>
      </c>
      <c r="B7" s="4" t="inlineStr">
        <is>
          <t>Horas responsable</t>
        </is>
      </c>
      <c r="C7" s="4" t="inlineStr">
        <is>
          <t>Tarjetas</t>
        </is>
      </c>
      <c r="D7" s="4" t="n"/>
      <c r="E7" s="4" t="n"/>
    </row>
    <row r="8">
      <c r="A8" t="inlineStr">
        <is>
          <t>Clemente Acevedo</t>
        </is>
      </c>
      <c r="B8">
        <f>SUMIFS('Tarjetas E2'!I:I,'Tarjetas E2'!E:E,"Clemente Acevedo")</f>
        <v/>
      </c>
      <c r="C8">
        <f>COUNTIF('Tarjetas E2'!E:E,"Clemente Acevedo")</f>
        <v/>
      </c>
    </row>
    <row r="9">
      <c r="A9" t="inlineStr">
        <is>
          <t>Felipe Arnolds</t>
        </is>
      </c>
      <c r="B9">
        <f>SUMIFS('Tarjetas E2'!I:I,'Tarjetas E2'!E:E,"Felipe Arnolds")</f>
        <v/>
      </c>
      <c r="C9">
        <f>COUNTIF('Tarjetas E2'!E:E,"Felipe Arnolds")</f>
        <v/>
      </c>
    </row>
    <row r="10">
      <c r="A10" t="inlineStr">
        <is>
          <t>Jorge Molina</t>
        </is>
      </c>
      <c r="B10">
        <f>SUMIFS('Tarjetas E2'!I:I,'Tarjetas E2'!E:E,"Jorge Molina")</f>
        <v/>
      </c>
      <c r="C10">
        <f>COUNTIF('Tarjetas E2'!E:E,"Jorge Molina")</f>
        <v/>
      </c>
    </row>
    <row r="11">
      <c r="A11" t="inlineStr">
        <is>
          <t>Felipe Espinoza</t>
        </is>
      </c>
      <c r="B11">
        <f>SUMIFS('Tarjetas E2'!I:I,'Tarjetas E2'!E:E,"Felipe Espinoza")</f>
        <v/>
      </c>
      <c r="C11">
        <f>COUNTIF('Tarjetas E2'!E:E,"Felipe Espinoza")</f>
        <v/>
      </c>
    </row>
    <row r="12">
      <c r="A12" t="inlineStr">
        <is>
          <t>Vicente Reñasco</t>
        </is>
      </c>
      <c r="B12">
        <f>SUMIFS('Tarjetas E2'!I:I,'Tarjetas E2'!E:E,"Vicente Reñasco")</f>
        <v/>
      </c>
      <c r="C12">
        <f>COUNTIF('Tarjetas E2'!E:E,"Vicente Reñasco")</f>
        <v/>
      </c>
    </row>
    <row r="14">
      <c r="A14" t="inlineStr">
        <is>
          <t>Las columnas amarillas de Tarjetas E2 (horas reales, inicio y cierre reales) quedan para que cada responsable las complete: el tablero las tiene sin registrar.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2026-10-01T15:50:59Z</dcterms:created>
  <dcterms:modified xmlns:dcterms="http://purl.org/dc/terms/" xmlns:xsi="http://www.w3.org/2001/XMLSchema-instance" xsi:type="dcterms:W3CDTF">2026-10-01T20:48:01Z</dcterms:modified>
</cp:coreProperties>
</file>