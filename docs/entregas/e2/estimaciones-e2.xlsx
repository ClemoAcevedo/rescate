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jetas E2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lan S04-S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FF4D6"/>
      </patternFill>
    </fill>
    <fill>
      <patternFill patternType="solid">
        <fgColor rgb="001D6A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8" customWidth="1" min="3" max="3"/>
    <col width="15" customWidth="1" min="4" max="4"/>
    <col width="18" customWidth="1" min="5" max="5"/>
    <col width="18" customWidth="1" min="6" max="6"/>
    <col width="13" customWidth="1" min="7" max="7"/>
    <col width="13" customWidth="1" min="8" max="8"/>
    <col width="10" customWidth="1" min="9" max="9"/>
    <col width="10" customWidth="1" min="10" max="10"/>
    <col width="2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Semana</t>
        </is>
      </c>
      <c r="D1" s="1" t="inlineStr">
        <is>
          <t>Tipo</t>
        </is>
      </c>
      <c r="E1" s="1" t="inlineStr">
        <is>
          <t>Responsable</t>
        </is>
      </c>
      <c r="F1" s="1" t="inlineStr">
        <is>
          <t>Revisor</t>
        </is>
      </c>
      <c r="G1" s="1" t="inlineStr">
        <is>
          <t>Inicio previsto</t>
        </is>
      </c>
      <c r="H1" s="1" t="inlineStr">
        <is>
          <t>Vencimiento</t>
        </is>
      </c>
      <c r="I1" s="1" t="inlineStr">
        <is>
          <t>Horas responsable</t>
        </is>
      </c>
      <c r="J1" s="1" t="inlineStr">
        <is>
          <t>Horas equipo</t>
        </is>
      </c>
      <c r="K1" s="1" t="inlineStr">
        <is>
          <t>Estado</t>
        </is>
      </c>
      <c r="L1" s="1" t="inlineStr">
        <is>
          <t>Cierre (GitHub)</t>
        </is>
      </c>
      <c r="M1" s="1" t="inlineStr">
        <is>
          <t>Horas reales equipo</t>
        </is>
      </c>
      <c r="N1" s="1" t="inlineStr">
        <is>
          <t>Inicio real</t>
        </is>
      </c>
      <c r="O1" s="1" t="inlineStr">
        <is>
          <t>Cierre real</t>
        </is>
      </c>
    </row>
    <row r="2">
      <c r="A2" t="inlineStr">
        <is>
          <t>K001</t>
        </is>
      </c>
      <c r="B2" t="inlineStr">
        <is>
          <t>Configurar repositorio y reglas de integración</t>
        </is>
      </c>
      <c r="C2" t="inlineStr">
        <is>
          <t>S01</t>
        </is>
      </c>
      <c r="D2" t="inlineStr">
        <is>
          <t>Infraestructura</t>
        </is>
      </c>
      <c r="E2" t="inlineStr">
        <is>
          <t>Clemente Acevedo</t>
        </is>
      </c>
      <c r="F2" t="inlineStr">
        <is>
          <t>Felipe Arnolds</t>
        </is>
      </c>
      <c r="G2" t="inlineStr">
        <is>
          <t>2026-09-14</t>
        </is>
      </c>
      <c r="H2" t="inlineStr">
        <is>
          <t>2026-09-14</t>
        </is>
      </c>
      <c r="I2" t="n">
        <v>2</v>
      </c>
      <c r="J2" t="n">
        <v>2.5</v>
      </c>
      <c r="K2" t="inlineStr">
        <is>
          <t>Cerrada</t>
        </is>
      </c>
      <c r="L2" t="inlineStr">
        <is>
          <t>2026-09-15</t>
        </is>
      </c>
      <c r="M2" s="2" t="n"/>
      <c r="N2" s="2" t="n"/>
      <c r="O2" s="2" t="n"/>
    </row>
    <row r="3">
      <c r="A3" t="inlineStr">
        <is>
          <t>K002</t>
        </is>
      </c>
      <c r="B3" t="inlineStr">
        <is>
          <t>Elegir gestor y probar una migración</t>
        </is>
      </c>
      <c r="C3" t="inlineStr">
        <is>
          <t>S01</t>
        </is>
      </c>
      <c r="D3" t="inlineStr">
        <is>
          <t>Análisis</t>
        </is>
      </c>
      <c r="E3" t="inlineStr">
        <is>
          <t>Felipe Arnolds</t>
        </is>
      </c>
      <c r="F3" t="inlineStr">
        <is>
          <t>Jorge Molina</t>
        </is>
      </c>
      <c r="G3" t="inlineStr">
        <is>
          <t>2026-09-15</t>
        </is>
      </c>
      <c r="H3" t="inlineStr">
        <is>
          <t>2026-09-16</t>
        </is>
      </c>
      <c r="I3" t="n">
        <v>3</v>
      </c>
      <c r="J3" t="n">
        <v>3.5</v>
      </c>
      <c r="K3" t="inlineStr">
        <is>
          <t>Cerrada</t>
        </is>
      </c>
      <c r="L3" t="inlineStr">
        <is>
          <t>2026-09-20</t>
        </is>
      </c>
      <c r="M3" s="2" t="n"/>
      <c r="N3" s="2" t="n"/>
      <c r="O3" s="2" t="n"/>
    </row>
    <row r="4">
      <c r="A4" t="inlineStr">
        <is>
          <t>K003</t>
        </is>
      </c>
      <c r="B4" t="inlineStr">
        <is>
          <t>Preparar la base y el modelo inicial</t>
        </is>
      </c>
      <c r="C4" t="inlineStr">
        <is>
          <t>S01</t>
        </is>
      </c>
      <c r="D4" t="inlineStr">
        <is>
          <t>Desarrollo</t>
        </is>
      </c>
      <c r="E4" t="inlineStr">
        <is>
          <t>Clemente Acevedo</t>
        </is>
      </c>
      <c r="F4" t="inlineStr">
        <is>
          <t>Felipe Arnolds</t>
        </is>
      </c>
      <c r="G4" t="inlineStr">
        <is>
          <t>2026-09-17</t>
        </is>
      </c>
      <c r="H4" t="inlineStr">
        <is>
          <t>2026-09-17</t>
        </is>
      </c>
      <c r="I4" t="n">
        <v>3</v>
      </c>
      <c r="J4" t="n">
        <v>3.5</v>
      </c>
      <c r="K4" t="inlineStr">
        <is>
          <t>Cerrada</t>
        </is>
      </c>
      <c r="L4" t="inlineStr">
        <is>
          <t>2026-09-20</t>
        </is>
      </c>
      <c r="M4" s="2" t="n"/>
      <c r="N4" s="2" t="n"/>
      <c r="O4" s="2" t="n"/>
    </row>
    <row r="5">
      <c r="A5" t="inlineStr">
        <is>
          <t>K004</t>
        </is>
      </c>
      <c r="B5" t="inlineStr">
        <is>
          <t>Construir la estructura de navegación web</t>
        </is>
      </c>
      <c r="C5" t="inlineStr">
        <is>
          <t>S01</t>
        </is>
      </c>
      <c r="D5" t="inlineStr">
        <is>
          <t>Desarrollo</t>
        </is>
      </c>
      <c r="E5" t="inlineStr">
        <is>
          <t>Jorge Molina</t>
        </is>
      </c>
      <c r="F5" t="inlineStr">
        <is>
          <t>Felipe Arnolds</t>
        </is>
      </c>
      <c r="G5" t="inlineStr">
        <is>
          <t>2026-09-15</t>
        </is>
      </c>
      <c r="H5" t="inlineStr">
        <is>
          <t>2026-09-17</t>
        </is>
      </c>
      <c r="I5" t="n">
        <v>4</v>
      </c>
      <c r="J5" t="n">
        <v>4.5</v>
      </c>
      <c r="K5" t="inlineStr">
        <is>
          <t>Cerrada</t>
        </is>
      </c>
      <c r="L5" t="inlineStr">
        <is>
          <t>2026-09-15</t>
        </is>
      </c>
      <c r="M5" s="2" t="n"/>
      <c r="N5" s="2" t="n"/>
      <c r="O5" s="2" t="n"/>
    </row>
    <row r="6">
      <c r="A6" t="inlineStr">
        <is>
          <t>K005</t>
        </is>
      </c>
      <c r="B6" t="inlineStr">
        <is>
          <t>Resolver almacenamiento y prototipo de fotos</t>
        </is>
      </c>
      <c r="C6" t="inlineStr">
        <is>
          <t>S01</t>
        </is>
      </c>
      <c r="D6" t="inlineStr">
        <is>
          <t>Análisis</t>
        </is>
      </c>
      <c r="E6" t="inlineStr">
        <is>
          <t>Felipe Espinoza</t>
        </is>
      </c>
      <c r="F6" t="inlineStr">
        <is>
          <t>Vicente Reñasco</t>
        </is>
      </c>
      <c r="G6" t="inlineStr">
        <is>
          <t>2026-09-15</t>
        </is>
      </c>
      <c r="H6" t="inlineStr">
        <is>
          <t>2026-09-16</t>
        </is>
      </c>
      <c r="I6" t="n">
        <v>3</v>
      </c>
      <c r="J6" t="n">
        <v>3.5</v>
      </c>
      <c r="K6" t="inlineStr">
        <is>
          <t>Cerrada</t>
        </is>
      </c>
      <c r="L6" t="inlineStr">
        <is>
          <t>2026-09-20</t>
        </is>
      </c>
      <c r="M6" s="2" t="n"/>
      <c r="N6" s="2" t="n"/>
      <c r="O6" s="2" t="n"/>
    </row>
    <row r="7">
      <c r="A7" t="inlineStr">
        <is>
          <t>K006</t>
        </is>
      </c>
      <c r="B7" t="inlineStr">
        <is>
          <t>Preparar Docker Compose y CI inicial</t>
        </is>
      </c>
      <c r="C7" t="inlineStr">
        <is>
          <t>S01</t>
        </is>
      </c>
      <c r="D7" t="inlineStr">
        <is>
          <t>Infraestructura</t>
        </is>
      </c>
      <c r="E7" t="inlineStr">
        <is>
          <t>Vicente Reñasco</t>
        </is>
      </c>
      <c r="F7" t="inlineStr">
        <is>
          <t>Jorge Molina</t>
        </is>
      </c>
      <c r="G7" t="inlineStr">
        <is>
          <t>2026-09-15</t>
        </is>
      </c>
      <c r="H7" t="inlineStr">
        <is>
          <t>2026-09-17</t>
        </is>
      </c>
      <c r="I7" t="n">
        <v>4</v>
      </c>
      <c r="J7" t="n">
        <v>4.5</v>
      </c>
      <c r="K7" t="inlineStr">
        <is>
          <t>Cerrada</t>
        </is>
      </c>
      <c r="L7" t="inlineStr">
        <is>
          <t>2026-09-20</t>
        </is>
      </c>
      <c r="M7" s="2" t="n"/>
      <c r="N7" s="2" t="n"/>
      <c r="O7" s="2" t="n"/>
    </row>
    <row r="8">
      <c r="A8" t="inlineStr">
        <is>
          <t>K007</t>
        </is>
      </c>
      <c r="B8" t="inlineStr">
        <is>
          <t>Crear tablero y criterios comunes</t>
        </is>
      </c>
      <c r="C8" t="inlineStr">
        <is>
          <t>S01</t>
        </is>
      </c>
      <c r="D8" t="inlineStr">
        <is>
          <t>Gestión</t>
        </is>
      </c>
      <c r="E8" t="inlineStr">
        <is>
          <t>Felipe Espinoza</t>
        </is>
      </c>
      <c r="F8" t="inlineStr">
        <is>
          <t>Felipe Arnolds</t>
        </is>
      </c>
      <c r="G8" t="inlineStr">
        <is>
          <t>2026-09-17</t>
        </is>
      </c>
      <c r="H8" t="inlineStr">
        <is>
          <t>2026-09-17</t>
        </is>
      </c>
      <c r="I8" t="n">
        <v>1.5</v>
      </c>
      <c r="J8" t="n">
        <v>1.75</v>
      </c>
      <c r="K8" t="inlineStr">
        <is>
          <t>Cerrada</t>
        </is>
      </c>
      <c r="L8" t="inlineStr">
        <is>
          <t>2026-09-20</t>
        </is>
      </c>
      <c r="M8" s="2" t="n"/>
      <c r="N8" s="2" t="n"/>
      <c r="O8" s="2" t="n"/>
    </row>
    <row r="9">
      <c r="A9" t="inlineStr">
        <is>
          <t>K008</t>
        </is>
      </c>
      <c r="B9" t="inlineStr">
        <is>
          <t>Implementar sesión y permisos del backend</t>
        </is>
      </c>
      <c r="C9" t="inlineStr">
        <is>
          <t>S02</t>
        </is>
      </c>
      <c r="D9" t="inlineStr">
        <is>
          <t>Desarrollo</t>
        </is>
      </c>
      <c r="E9" t="inlineStr">
        <is>
          <t>Clemente Acevedo</t>
        </is>
      </c>
      <c r="F9" t="inlineStr">
        <is>
          <t>Felipe Espinoza</t>
        </is>
      </c>
      <c r="G9" t="inlineStr">
        <is>
          <t>2026-09-21</t>
        </is>
      </c>
      <c r="H9" t="inlineStr">
        <is>
          <t>2026-09-24</t>
        </is>
      </c>
      <c r="I9" t="n">
        <v>3.5</v>
      </c>
      <c r="J9" t="n">
        <v>4</v>
      </c>
      <c r="K9" t="inlineStr">
        <is>
          <t>Cerrada</t>
        </is>
      </c>
      <c r="L9" t="inlineStr">
        <is>
          <t>2026-09-21</t>
        </is>
      </c>
      <c r="M9" s="2" t="n"/>
      <c r="N9" s="2" t="n"/>
      <c r="O9" s="2" t="n"/>
    </row>
    <row r="10">
      <c r="A10" t="inlineStr">
        <is>
          <t>K009</t>
        </is>
      </c>
      <c r="B10" t="inlineStr">
        <is>
          <t>Integrar registro y sesión en la web</t>
        </is>
      </c>
      <c r="C10" t="inlineStr">
        <is>
          <t>S02</t>
        </is>
      </c>
      <c r="D10" t="inlineStr">
        <is>
          <t>Desarrollo</t>
        </is>
      </c>
      <c r="E10" t="inlineStr">
        <is>
          <t>Jorge Molina</t>
        </is>
      </c>
      <c r="F10" t="inlineStr">
        <is>
          <t>Vicente Reñasco</t>
        </is>
      </c>
      <c r="G10" t="inlineStr">
        <is>
          <t>2026-09-21</t>
        </is>
      </c>
      <c r="H10" t="inlineStr">
        <is>
          <t>2026-09-25</t>
        </is>
      </c>
      <c r="I10" t="n">
        <v>3</v>
      </c>
      <c r="J10" t="n">
        <v>3.5</v>
      </c>
      <c r="K10" t="inlineStr">
        <is>
          <t>Cerrada</t>
        </is>
      </c>
      <c r="L10" t="inlineStr">
        <is>
          <t>2026-09-22</t>
        </is>
      </c>
      <c r="M10" s="2" t="n"/>
      <c r="N10" s="2" t="n"/>
      <c r="O10" s="2" t="n"/>
    </row>
    <row r="11">
      <c r="A11" t="inlineStr">
        <is>
          <t>K010</t>
        </is>
      </c>
      <c r="B11" t="inlineStr">
        <is>
          <t>Implementar borrador y publicación de lotes</t>
        </is>
      </c>
      <c r="C11" t="inlineStr">
        <is>
          <t>S02</t>
        </is>
      </c>
      <c r="D11" t="inlineStr">
        <is>
          <t>Desarrollo</t>
        </is>
      </c>
      <c r="E11" t="inlineStr">
        <is>
          <t>Felipe Arnolds</t>
        </is>
      </c>
      <c r="F11" t="inlineStr">
        <is>
          <t>Clemente Acevedo</t>
        </is>
      </c>
      <c r="G11" t="inlineStr">
        <is>
          <t>2026-09-21</t>
        </is>
      </c>
      <c r="H11" t="inlineStr">
        <is>
          <t>2026-09-24</t>
        </is>
      </c>
      <c r="I11" t="n">
        <v>3.5</v>
      </c>
      <c r="J11" t="n">
        <v>4</v>
      </c>
      <c r="K11" t="inlineStr">
        <is>
          <t>Cerrada</t>
        </is>
      </c>
      <c r="L11" t="inlineStr">
        <is>
          <t>2026-09-21</t>
        </is>
      </c>
      <c r="M11" s="2" t="n"/>
      <c r="N11" s="2" t="n"/>
      <c r="O11" s="2" t="n"/>
    </row>
    <row r="12">
      <c r="A12" t="inlineStr">
        <is>
          <t>K011</t>
        </is>
      </c>
      <c r="B12" t="inlineStr">
        <is>
          <t>Construir formulario de lote del operador</t>
        </is>
      </c>
      <c r="C12" t="inlineStr">
        <is>
          <t>S02</t>
        </is>
      </c>
      <c r="D12" t="inlineStr">
        <is>
          <t>Desarrollo</t>
        </is>
      </c>
      <c r="E12" t="inlineStr">
        <is>
          <t>Felipe Espinoza</t>
        </is>
      </c>
      <c r="F12" t="inlineStr">
        <is>
          <t>Felipe Arnolds</t>
        </is>
      </c>
      <c r="G12" t="inlineStr">
        <is>
          <t>2026-09-21</t>
        </is>
      </c>
      <c r="H12" t="inlineStr">
        <is>
          <t>2026-09-25</t>
        </is>
      </c>
      <c r="I12" t="n">
        <v>3</v>
      </c>
      <c r="J12" t="n">
        <v>3.5</v>
      </c>
      <c r="K12" t="inlineStr">
        <is>
          <t>Cerrada</t>
        </is>
      </c>
      <c r="L12" t="inlineStr">
        <is>
          <t>2026-09-27</t>
        </is>
      </c>
      <c r="M12" s="2" t="n"/>
      <c r="N12" s="2" t="n"/>
      <c r="O12" s="2" t="n"/>
    </row>
    <row r="13">
      <c r="A13" t="inlineStr">
        <is>
          <t>K012</t>
        </is>
      </c>
      <c r="B13" t="inlineStr">
        <is>
          <t>Probar identidad y publicación con datos semilla</t>
        </is>
      </c>
      <c r="C13" t="inlineStr">
        <is>
          <t>S02</t>
        </is>
      </c>
      <c r="D13" t="inlineStr">
        <is>
          <t>Pruebas</t>
        </is>
      </c>
      <c r="E13" t="inlineStr">
        <is>
          <t>Vicente Reñasco</t>
        </is>
      </c>
      <c r="F13" t="inlineStr">
        <is>
          <t>Felipe Espinoza</t>
        </is>
      </c>
      <c r="G13" t="inlineStr">
        <is>
          <t>2026-09-25</t>
        </is>
      </c>
      <c r="H13" t="inlineStr">
        <is>
          <t>2026-09-26</t>
        </is>
      </c>
      <c r="I13" t="n">
        <v>3</v>
      </c>
      <c r="J13" t="n">
        <v>3.5</v>
      </c>
      <c r="K13" t="inlineStr">
        <is>
          <t>Cerrada</t>
        </is>
      </c>
      <c r="L13" t="inlineStr">
        <is>
          <t>2026-09-27</t>
        </is>
      </c>
      <c r="M13" s="2" t="n"/>
      <c r="N13" s="2" t="n"/>
      <c r="O13" s="2" t="n"/>
    </row>
    <row r="14">
      <c r="A14" t="inlineStr">
        <is>
          <t>K013</t>
        </is>
      </c>
      <c r="B14" t="inlineStr">
        <is>
          <t>Actualizar dominio y casos de uso para E2</t>
        </is>
      </c>
      <c r="C14" t="inlineStr">
        <is>
          <t>S02</t>
        </is>
      </c>
      <c r="D14" t="inlineStr">
        <is>
          <t>Documentación</t>
        </is>
      </c>
      <c r="E14" t="inlineStr">
        <is>
          <t>Jorge Molina</t>
        </is>
      </c>
      <c r="F14" t="inlineStr">
        <is>
          <t>Vicente Reñasco</t>
        </is>
      </c>
      <c r="G14" t="inlineStr">
        <is>
          <t>2026-09-25</t>
        </is>
      </c>
      <c r="H14" t="inlineStr">
        <is>
          <t>2026-09-26</t>
        </is>
      </c>
      <c r="I14" t="n">
        <v>1</v>
      </c>
      <c r="J14" t="n">
        <v>1.25</v>
      </c>
      <c r="K14" t="inlineStr">
        <is>
          <t>Cerrada</t>
        </is>
      </c>
      <c r="L14" t="inlineStr">
        <is>
          <t>2026-09-21</t>
        </is>
      </c>
      <c r="M14" s="2" t="n"/>
      <c r="N14" s="2" t="n"/>
      <c r="O14" s="2" t="n"/>
    </row>
    <row r="15">
      <c r="A15" t="inlineStr">
        <is>
          <t>K014</t>
        </is>
      </c>
      <c r="B15" t="inlineStr">
        <is>
          <t>Completar validación y ciclo de fotos</t>
        </is>
      </c>
      <c r="C15" t="inlineStr">
        <is>
          <t>S03</t>
        </is>
      </c>
      <c r="D15" t="inlineStr">
        <is>
          <t>Desarrollo</t>
        </is>
      </c>
      <c r="E15" t="inlineStr">
        <is>
          <t>Felipe Arnolds</t>
        </is>
      </c>
      <c r="F15" t="inlineStr">
        <is>
          <t>Jorge Molina</t>
        </is>
      </c>
      <c r="G15" t="inlineStr">
        <is>
          <t>2026-09-28</t>
        </is>
      </c>
      <c r="H15" t="inlineStr">
        <is>
          <t>2026-09-30</t>
        </is>
      </c>
      <c r="I15" t="n">
        <v>3</v>
      </c>
      <c r="J15" t="n">
        <v>3.5</v>
      </c>
      <c r="K15" t="inlineStr">
        <is>
          <t>Cerrada</t>
        </is>
      </c>
      <c r="L15" t="inlineStr">
        <is>
          <t>2026-10-02</t>
        </is>
      </c>
      <c r="M15" s="2" t="n"/>
      <c r="N15" s="2" t="n"/>
      <c r="O15" s="2" t="n"/>
    </row>
    <row r="16">
      <c r="A16" t="inlineStr">
        <is>
          <t>K015</t>
        </is>
      </c>
      <c r="B16" t="inlineStr">
        <is>
          <t>Implementar búsqueda cercana y reserva inicial</t>
        </is>
      </c>
      <c r="C16" t="inlineStr">
        <is>
          <t>S03</t>
        </is>
      </c>
      <c r="D16" t="inlineStr">
        <is>
          <t>Desarrollo</t>
        </is>
      </c>
      <c r="E16" t="inlineStr">
        <is>
          <t>Clemente Acevedo</t>
        </is>
      </c>
      <c r="F16" t="inlineStr">
        <is>
          <t>Vicente Reñasco</t>
        </is>
      </c>
      <c r="G16" t="inlineStr">
        <is>
          <t>2026-09-28</t>
        </is>
      </c>
      <c r="H16" t="inlineStr">
        <is>
          <t>2026-09-30</t>
        </is>
      </c>
      <c r="I16" t="n">
        <v>3.5</v>
      </c>
      <c r="J16" t="n">
        <v>4</v>
      </c>
      <c r="K16" t="inlineStr">
        <is>
          <t>Cerrada</t>
        </is>
      </c>
      <c r="L16" t="inlineStr">
        <is>
          <t>2026-09-30</t>
        </is>
      </c>
      <c r="M16" s="2" t="n"/>
      <c r="N16" s="2" t="n"/>
      <c r="O16" s="2" t="n"/>
    </row>
    <row r="17">
      <c r="A17" t="inlineStr">
        <is>
          <t>K016</t>
        </is>
      </c>
      <c r="B17" t="inlineStr">
        <is>
          <t>Integrar búsqueda y detalle del lote</t>
        </is>
      </c>
      <c r="C17" t="inlineStr">
        <is>
          <t>S03</t>
        </is>
      </c>
      <c r="D17" t="inlineStr">
        <is>
          <t>Desarrollo</t>
        </is>
      </c>
      <c r="E17" t="inlineStr">
        <is>
          <t>Jorge Molina</t>
        </is>
      </c>
      <c r="F17" t="inlineStr">
        <is>
          <t>Clemente Acevedo</t>
        </is>
      </c>
      <c r="G17" t="inlineStr">
        <is>
          <t>2026-09-28</t>
        </is>
      </c>
      <c r="H17" t="inlineStr">
        <is>
          <t>2026-10-01</t>
        </is>
      </c>
      <c r="I17" t="n">
        <v>3</v>
      </c>
      <c r="J17" t="n">
        <v>3.5</v>
      </c>
      <c r="K17" t="inlineStr">
        <is>
          <t>Cerrada</t>
        </is>
      </c>
      <c r="L17" t="inlineStr">
        <is>
          <t>2026-09-30</t>
        </is>
      </c>
      <c r="M17" s="2" t="n"/>
      <c r="N17" s="2" t="n"/>
      <c r="O17" s="2" t="n"/>
    </row>
    <row r="18">
      <c r="A18" t="inlineStr">
        <is>
          <t>K017</t>
        </is>
      </c>
      <c r="B18" t="inlineStr">
        <is>
          <t>Integrar fotos en publicación y panel</t>
        </is>
      </c>
      <c r="C18" t="inlineStr">
        <is>
          <t>S03</t>
        </is>
      </c>
      <c r="D18" t="inlineStr">
        <is>
          <t>Desarrollo</t>
        </is>
      </c>
      <c r="E18" t="inlineStr">
        <is>
          <t>Felipe Espinoza</t>
        </is>
      </c>
      <c r="F18" t="inlineStr">
        <is>
          <t>Jorge Molina</t>
        </is>
      </c>
      <c r="G18" t="inlineStr">
        <is>
          <t>2026-09-28</t>
        </is>
      </c>
      <c r="H18" t="inlineStr">
        <is>
          <t>2026-10-01</t>
        </is>
      </c>
      <c r="I18" t="n">
        <v>2.5</v>
      </c>
      <c r="J18" t="n">
        <v>3</v>
      </c>
      <c r="K18" t="inlineStr">
        <is>
          <t>Cerrada</t>
        </is>
      </c>
      <c r="L18" t="inlineStr">
        <is>
          <t>2026-10-02</t>
        </is>
      </c>
      <c r="M18" s="2" t="n"/>
      <c r="N18" s="2" t="n"/>
      <c r="O18" s="2" t="n"/>
    </row>
    <row r="19">
      <c r="A19" t="inlineStr">
        <is>
          <t>K018</t>
        </is>
      </c>
      <c r="B19" t="inlineStr">
        <is>
          <t>Desplegar Walking Skeleton con migraciones</t>
        </is>
      </c>
      <c r="C19" t="inlineStr">
        <is>
          <t>S03</t>
        </is>
      </c>
      <c r="D19" t="inlineStr">
        <is>
          <t>Infraestructura</t>
        </is>
      </c>
      <c r="E19" t="inlineStr">
        <is>
          <t>Vicente Reñasco</t>
        </is>
      </c>
      <c r="F19" t="inlineStr">
        <is>
          <t>Felipe Espinoza</t>
        </is>
      </c>
      <c r="G19" t="inlineStr">
        <is>
          <t>2026-09-28</t>
        </is>
      </c>
      <c r="H19" t="inlineStr">
        <is>
          <t>2026-10-01</t>
        </is>
      </c>
      <c r="I19" t="n">
        <v>3</v>
      </c>
      <c r="J19" t="n">
        <v>3.5</v>
      </c>
      <c r="K19" t="inlineStr">
        <is>
          <t>Cerrada</t>
        </is>
      </c>
      <c r="L19" t="inlineStr">
        <is>
          <t>2026-09-30</t>
        </is>
      </c>
      <c r="M19" s="2" t="n"/>
      <c r="N19" s="2" t="n"/>
      <c r="O19" s="2" t="n"/>
    </row>
    <row r="20">
      <c r="A20" t="inlineStr">
        <is>
          <t>K019</t>
        </is>
      </c>
      <c r="B20" t="inlineStr">
        <is>
          <t>Preparar modelos y presentación de E2</t>
        </is>
      </c>
      <c r="C20" t="inlineStr">
        <is>
          <t>S03</t>
        </is>
      </c>
      <c r="D20" t="inlineStr">
        <is>
          <t>Entrega</t>
        </is>
      </c>
      <c r="E20" t="inlineStr">
        <is>
          <t>Felipe Arnolds</t>
        </is>
      </c>
      <c r="F20" t="inlineStr">
        <is>
          <t>Vicente Reñasco</t>
        </is>
      </c>
      <c r="G20" t="inlineStr">
        <is>
          <t>2026-10-01</t>
        </is>
      </c>
      <c r="H20" t="inlineStr">
        <is>
          <t>2026-10-02</t>
        </is>
      </c>
      <c r="I20" t="n">
        <v>1.5</v>
      </c>
      <c r="J20" t="n">
        <v>1.75</v>
      </c>
      <c r="K20" t="inlineStr">
        <is>
          <t>Cerrada</t>
        </is>
      </c>
      <c r="L20" t="inlineStr">
        <is>
          <t>2026-10-03</t>
        </is>
      </c>
      <c r="M20" s="2" t="n"/>
      <c r="N20" s="2" t="n"/>
      <c r="O20" s="2" t="n"/>
    </row>
    <row r="21">
      <c r="A21" t="inlineStr">
        <is>
          <t>K020</t>
        </is>
      </c>
      <c r="B21" t="inlineStr">
        <is>
          <t>Revisar y enviar el paquete de E2</t>
        </is>
      </c>
      <c r="C21" t="inlineStr">
        <is>
          <t>S03</t>
        </is>
      </c>
      <c r="D21" t="inlineStr">
        <is>
          <t>Entrega</t>
        </is>
      </c>
      <c r="E21" t="inlineStr">
        <is>
          <t>Felipe Espinoza</t>
        </is>
      </c>
      <c r="F21" t="inlineStr">
        <is>
          <t>Vicente Reñasco</t>
        </is>
      </c>
      <c r="G21" t="inlineStr">
        <is>
          <t>2026-10-03</t>
        </is>
      </c>
      <c r="H21" t="inlineStr">
        <is>
          <t>2026-10-03</t>
        </is>
      </c>
      <c r="I21" t="n">
        <v>1</v>
      </c>
      <c r="J21" t="n">
        <v>1.25</v>
      </c>
      <c r="K21" t="inlineStr">
        <is>
          <t>Cerrada</t>
        </is>
      </c>
      <c r="L21" t="inlineStr">
        <is>
          <t>2026-10-03</t>
        </is>
      </c>
      <c r="M21" s="2" t="n"/>
      <c r="N21" s="2" t="n"/>
      <c r="O21" s="2" t="n"/>
    </row>
    <row r="23">
      <c r="A23" s="3" t="inlineStr">
        <is>
          <t>Total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>
        <f>SUM(I2:I21)</f>
        <v/>
      </c>
      <c r="J23" s="3">
        <f>SUM(J2:J21)</f>
        <v/>
      </c>
      <c r="K23" s="3" t="n"/>
      <c r="L23" s="3" t="n"/>
      <c r="M23" s="3" t="n"/>
      <c r="N23" s="3" t="n"/>
      <c r="O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0" customWidth="1" min="5" max="5"/>
  </cols>
  <sheetData>
    <row r="1">
      <c r="A1" s="4" t="inlineStr">
        <is>
          <t>Semana</t>
        </is>
      </c>
      <c r="B1" s="4" t="inlineStr">
        <is>
          <t>Horas equipo</t>
        </is>
      </c>
      <c r="C1" s="4" t="inlineStr">
        <is>
          <t>Cerradas</t>
        </is>
      </c>
      <c r="D1" s="4" t="inlineStr">
        <is>
          <t>Abiertas</t>
        </is>
      </c>
      <c r="E1" s="4" t="inlineStr">
        <is>
          <t>Tarjetas</t>
        </is>
      </c>
    </row>
    <row r="2">
      <c r="A2" t="inlineStr">
        <is>
          <t>S01</t>
        </is>
      </c>
      <c r="B2">
        <f>SUMIFS('Tarjetas E2'!J:J,'Tarjetas E2'!C:C,"S01")</f>
        <v/>
      </c>
      <c r="C2">
        <f>SUMIFS('Tarjetas E2'!J:J,'Tarjetas E2'!C:C,"S01",'Tarjetas E2'!K:K,"Cerrada")</f>
        <v/>
      </c>
      <c r="D2">
        <f>B2-C2</f>
        <v/>
      </c>
      <c r="E2">
        <f>COUNTIF('Tarjetas E2'!C:C,"S01")</f>
        <v/>
      </c>
    </row>
    <row r="3">
      <c r="A3" t="inlineStr">
        <is>
          <t>S02</t>
        </is>
      </c>
      <c r="B3">
        <f>SUMIFS('Tarjetas E2'!J:J,'Tarjetas E2'!C:C,"S02")</f>
        <v/>
      </c>
      <c r="C3">
        <f>SUMIFS('Tarjetas E2'!J:J,'Tarjetas E2'!C:C,"S02",'Tarjetas E2'!K:K,"Cerrada")</f>
        <v/>
      </c>
      <c r="D3">
        <f>B3-C3</f>
        <v/>
      </c>
      <c r="E3">
        <f>COUNTIF('Tarjetas E2'!C:C,"S02")</f>
        <v/>
      </c>
    </row>
    <row r="4">
      <c r="A4" t="inlineStr">
        <is>
          <t>S03</t>
        </is>
      </c>
      <c r="B4">
        <f>SUMIFS('Tarjetas E2'!J:J,'Tarjetas E2'!C:C,"S03")</f>
        <v/>
      </c>
      <c r="C4">
        <f>SUMIFS('Tarjetas E2'!J:J,'Tarjetas E2'!C:C,"S03",'Tarjetas E2'!K:K,"Cerrada")</f>
        <v/>
      </c>
      <c r="D4">
        <f>B4-C4</f>
        <v/>
      </c>
      <c r="E4">
        <f>COUNTIF('Tarjetas E2'!C:C,"S03")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  <row r="7">
      <c r="A7" s="4" t="inlineStr">
        <is>
          <t>Responsable</t>
        </is>
      </c>
      <c r="B7" s="4" t="inlineStr">
        <is>
          <t>Horas responsable</t>
        </is>
      </c>
      <c r="C7" s="4" t="inlineStr">
        <is>
          <t>Tarjetas</t>
        </is>
      </c>
      <c r="D7" s="4" t="n"/>
      <c r="E7" s="4" t="n"/>
    </row>
    <row r="8">
      <c r="A8" t="inlineStr">
        <is>
          <t>Clemente Acevedo</t>
        </is>
      </c>
      <c r="B8">
        <f>SUMIFS('Tarjetas E2'!I:I,'Tarjetas E2'!E:E,"Clemente Acevedo")</f>
        <v/>
      </c>
      <c r="C8">
        <f>COUNTIF('Tarjetas E2'!E:E,"Clemente Acevedo")</f>
        <v/>
      </c>
    </row>
    <row r="9">
      <c r="A9" t="inlineStr">
        <is>
          <t>Felipe Arnolds</t>
        </is>
      </c>
      <c r="B9">
        <f>SUMIFS('Tarjetas E2'!I:I,'Tarjetas E2'!E:E,"Felipe Arnolds")</f>
        <v/>
      </c>
      <c r="C9">
        <f>COUNTIF('Tarjetas E2'!E:E,"Felipe Arnolds")</f>
        <v/>
      </c>
    </row>
    <row r="10">
      <c r="A10" t="inlineStr">
        <is>
          <t>Jorge Molina</t>
        </is>
      </c>
      <c r="B10">
        <f>SUMIFS('Tarjetas E2'!I:I,'Tarjetas E2'!E:E,"Jorge Molina")</f>
        <v/>
      </c>
      <c r="C10">
        <f>COUNTIF('Tarjetas E2'!E:E,"Jorge Molina")</f>
        <v/>
      </c>
    </row>
    <row r="11">
      <c r="A11" t="inlineStr">
        <is>
          <t>Felipe Espinoza</t>
        </is>
      </c>
      <c r="B11">
        <f>SUMIFS('Tarjetas E2'!I:I,'Tarjetas E2'!E:E,"Felipe Espinoza")</f>
        <v/>
      </c>
      <c r="C11">
        <f>COUNTIF('Tarjetas E2'!E:E,"Felipe Espinoza")</f>
        <v/>
      </c>
    </row>
    <row r="12">
      <c r="A12" t="inlineStr">
        <is>
          <t>Vicente Reñasco</t>
        </is>
      </c>
      <c r="B12">
        <f>SUMIFS('Tarjetas E2'!I:I,'Tarjetas E2'!E:E,"Vicente Reñasco")</f>
        <v/>
      </c>
      <c r="C12">
        <f>COUNTIF('Tarjetas E2'!E:E,"Vicente Reñasco")</f>
        <v/>
      </c>
    </row>
    <row r="14">
      <c r="A14" t="inlineStr">
        <is>
          <t>Las columnas amarillas de Tarjetas E2 (horas reales, inicio y cierre reales) quedan para que cada responsable las complete: el tablero las tiene sin registrar.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8" customWidth="1" min="4" max="4"/>
    <col width="14" customWidth="1" min="5" max="5"/>
    <col width="9" customWidth="1" min="6" max="6"/>
    <col width="18" customWidth="1" min="7" max="7"/>
    <col width="13" customWidth="1" min="8" max="8"/>
    <col width="13" customWidth="1" min="9" max="9"/>
    <col width="10" customWidth="1" min="10" max="10"/>
    <col width="10" customWidth="1" min="11" max="11"/>
    <col width="28" customWidth="1" min="12" max="12"/>
    <col width="11" customWidth="1" min="13" max="13"/>
  </cols>
  <sheetData>
    <row r="1">
      <c r="A1" s="5" t="inlineStr">
        <is>
          <t>ID</t>
        </is>
      </c>
      <c r="B1" s="5" t="inlineStr">
        <is>
          <t>Título</t>
        </is>
      </c>
      <c r="C1" s="5" t="inlineStr">
        <is>
          <t>Semana</t>
        </is>
      </c>
      <c r="D1" s="5" t="inlineStr">
        <is>
          <t>Entrega</t>
        </is>
      </c>
      <c r="E1" s="5" t="inlineStr">
        <is>
          <t>Tipo</t>
        </is>
      </c>
      <c r="F1" s="5" t="inlineStr">
        <is>
          <t>Prioridad</t>
        </is>
      </c>
      <c r="G1" s="5" t="inlineStr">
        <is>
          <t>Responsable</t>
        </is>
      </c>
      <c r="H1" s="5" t="inlineStr">
        <is>
          <t>Inicio previsto</t>
        </is>
      </c>
      <c r="I1" s="5" t="inlineStr">
        <is>
          <t>Vencimiento</t>
        </is>
      </c>
      <c r="J1" s="5" t="inlineStr">
        <is>
          <t>Horas responsable</t>
        </is>
      </c>
      <c r="K1" s="5" t="inlineStr">
        <is>
          <t>Horas equipo</t>
        </is>
      </c>
      <c r="L1" s="5" t="inlineStr">
        <is>
          <t>RF o referencia</t>
        </is>
      </c>
      <c r="M1" s="5" t="inlineStr">
        <is>
          <t>Estado</t>
        </is>
      </c>
    </row>
    <row r="2">
      <c r="A2" t="inlineStr">
        <is>
          <t>K021</t>
        </is>
      </c>
      <c r="B2" t="inlineStr">
        <is>
          <t>Completar reserva e idempotencia transaccional</t>
        </is>
      </c>
      <c r="C2" t="inlineStr">
        <is>
          <t>S04</t>
        </is>
      </c>
      <c r="D2" t="inlineStr">
        <is>
          <t>E3</t>
        </is>
      </c>
      <c r="E2" t="inlineStr">
        <is>
          <t>Desarrollo</t>
        </is>
      </c>
      <c r="F2" t="inlineStr">
        <is>
          <t>Alta</t>
        </is>
      </c>
      <c r="G2" t="inlineStr">
        <is>
          <t>Clemente Acevedo</t>
        </is>
      </c>
      <c r="H2" t="inlineStr">
        <is>
          <t>2026-10-05</t>
        </is>
      </c>
      <c r="I2" t="inlineStr">
        <is>
          <t>2026-10-07</t>
        </is>
      </c>
      <c r="J2" t="n">
        <v>4</v>
      </c>
      <c r="K2" t="n">
        <v>4.5</v>
      </c>
      <c r="L2" t="inlineStr">
        <is>
          <t>RF04 RNF01</t>
        </is>
      </c>
      <c r="M2" t="inlineStr">
        <is>
          <t>Pendiente</t>
        </is>
      </c>
    </row>
    <row r="3">
      <c r="A3" t="inlineStr">
        <is>
          <t>K022</t>
        </is>
      </c>
      <c r="B3" t="inlineStr">
        <is>
          <t>Implementar cancelación y códigos de retiro</t>
        </is>
      </c>
      <c r="C3" t="inlineStr">
        <is>
          <t>S04</t>
        </is>
      </c>
      <c r="D3" t="inlineStr">
        <is>
          <t>E3</t>
        </is>
      </c>
      <c r="E3" t="inlineStr">
        <is>
          <t>Desarrollo</t>
        </is>
      </c>
      <c r="F3" t="inlineStr">
        <is>
          <t>Alta</t>
        </is>
      </c>
      <c r="G3" t="inlineStr">
        <is>
          <t>Felipe Arnolds</t>
        </is>
      </c>
      <c r="H3" t="inlineStr">
        <is>
          <t>2026-10-08</t>
        </is>
      </c>
      <c r="I3" t="inlineStr">
        <is>
          <t>2026-10-09</t>
        </is>
      </c>
      <c r="J3" t="n">
        <v>4</v>
      </c>
      <c r="K3" t="n">
        <v>4.5</v>
      </c>
      <c r="L3" t="inlineStr">
        <is>
          <t>RF05 RF06 RF08</t>
        </is>
      </c>
      <c r="M3" t="inlineStr">
        <is>
          <t>Pendiente</t>
        </is>
      </c>
    </row>
    <row r="4">
      <c r="A4" t="inlineStr">
        <is>
          <t>K023</t>
        </is>
      </c>
      <c r="B4" t="inlineStr">
        <is>
          <t>Completar la vista de reserva y cancelación</t>
        </is>
      </c>
      <c r="C4" t="inlineStr">
        <is>
          <t>S04</t>
        </is>
      </c>
      <c r="D4" t="inlineStr">
        <is>
          <t>E3</t>
        </is>
      </c>
      <c r="E4" t="inlineStr">
        <is>
          <t>Desarrollo</t>
        </is>
      </c>
      <c r="F4" t="inlineStr">
        <is>
          <t>Alta</t>
        </is>
      </c>
      <c r="G4" t="inlineStr">
        <is>
          <t>Jorge Molina</t>
        </is>
      </c>
      <c r="H4" t="inlineStr">
        <is>
          <t>2026-10-05</t>
        </is>
      </c>
      <c r="I4" t="inlineStr">
        <is>
          <t>2026-10-09</t>
        </is>
      </c>
      <c r="J4" t="n">
        <v>3.5</v>
      </c>
      <c r="K4" t="n">
        <v>4</v>
      </c>
      <c r="L4" t="inlineStr">
        <is>
          <t>RF04 RF05 RF06</t>
        </is>
      </c>
      <c r="M4" t="inlineStr">
        <is>
          <t>Pendiente</t>
        </is>
      </c>
    </row>
    <row r="5">
      <c r="A5" t="inlineStr">
        <is>
          <t>K024</t>
        </is>
      </c>
      <c r="B5" t="inlineStr">
        <is>
          <t>Construir validación de entrega del operador</t>
        </is>
      </c>
      <c r="C5" t="inlineStr">
        <is>
          <t>S04</t>
        </is>
      </c>
      <c r="D5" t="inlineStr">
        <is>
          <t>E3</t>
        </is>
      </c>
      <c r="E5" t="inlineStr">
        <is>
          <t>Desarrollo</t>
        </is>
      </c>
      <c r="F5" t="inlineStr">
        <is>
          <t>Alta</t>
        </is>
      </c>
      <c r="G5" t="inlineStr">
        <is>
          <t>Felipe Espinoza</t>
        </is>
      </c>
      <c r="H5" t="inlineStr">
        <is>
          <t>2026-10-05</t>
        </is>
      </c>
      <c r="I5" t="inlineStr">
        <is>
          <t>2026-10-09</t>
        </is>
      </c>
      <c r="J5" t="n">
        <v>3.5</v>
      </c>
      <c r="K5" t="n">
        <v>4</v>
      </c>
      <c r="L5" t="inlineStr">
        <is>
          <t>RF06 RF10</t>
        </is>
      </c>
      <c r="M5" t="inlineStr">
        <is>
          <t>Pendiente</t>
        </is>
      </c>
    </row>
    <row r="6">
      <c r="A6" t="inlineStr">
        <is>
          <t>K025</t>
        </is>
      </c>
      <c r="B6" t="inlineStr">
        <is>
          <t>Probar concurrencia y límites de retiro</t>
        </is>
      </c>
      <c r="C6" t="inlineStr">
        <is>
          <t>S04</t>
        </is>
      </c>
      <c r="D6" t="inlineStr">
        <is>
          <t>E3</t>
        </is>
      </c>
      <c r="E6" t="inlineStr">
        <is>
          <t>Pruebas</t>
        </is>
      </c>
      <c r="F6" t="inlineStr">
        <is>
          <t>Alta</t>
        </is>
      </c>
      <c r="G6" t="inlineStr">
        <is>
          <t>Vicente Reñasco</t>
        </is>
      </c>
      <c r="H6" t="inlineStr">
        <is>
          <t>2026-10-10</t>
        </is>
      </c>
      <c r="I6" t="inlineStr">
        <is>
          <t>2026-10-10</t>
        </is>
      </c>
      <c r="J6" t="n">
        <v>4</v>
      </c>
      <c r="K6" t="n">
        <v>4.5</v>
      </c>
      <c r="L6" t="inlineStr">
        <is>
          <t>RF04 RF05 RF06 RF08</t>
        </is>
      </c>
      <c r="M6" t="inlineStr">
        <is>
          <t>Pendiente</t>
        </is>
      </c>
    </row>
    <row r="7">
      <c r="A7" t="inlineStr">
        <is>
          <t>K026</t>
        </is>
      </c>
      <c r="B7" t="inlineStr">
        <is>
          <t>Incorporar feedback de E2</t>
        </is>
      </c>
      <c r="C7" t="inlineStr">
        <is>
          <t>S04</t>
        </is>
      </c>
      <c r="D7" t="inlineStr">
        <is>
          <t>E3</t>
        </is>
      </c>
      <c r="E7" t="inlineStr">
        <is>
          <t>Gestión</t>
        </is>
      </c>
      <c r="F7" t="inlineStr">
        <is>
          <t>Alta</t>
        </is>
      </c>
      <c r="G7" t="inlineStr">
        <is>
          <t>Jorge Molina</t>
        </is>
      </c>
      <c r="H7" t="inlineStr">
        <is>
          <t>2026-10-09</t>
        </is>
      </c>
      <c r="I7" t="inlineStr">
        <is>
          <t>2026-10-10</t>
        </is>
      </c>
      <c r="J7" t="n">
        <v>1</v>
      </c>
      <c r="K7" t="n">
        <v>1.25</v>
      </c>
      <c r="L7" t="inlineStr">
        <is>
          <t>E2 E3</t>
        </is>
      </c>
      <c r="M7" t="inlineStr">
        <is>
          <t>Pendiente</t>
        </is>
      </c>
    </row>
    <row r="8">
      <c r="A8" t="inlineStr">
        <is>
          <t>P2</t>
        </is>
      </c>
      <c r="B8" t="inlineStr">
        <is>
          <t>Presentar E2 y guardar observaciones</t>
        </is>
      </c>
      <c r="C8" t="inlineStr">
        <is>
          <t>S04</t>
        </is>
      </c>
      <c r="D8" t="inlineStr">
        <is>
          <t>E2</t>
        </is>
      </c>
      <c r="E8" t="inlineStr">
        <is>
          <t>Entrega</t>
        </is>
      </c>
      <c r="F8" t="inlineStr">
        <is>
          <t>Alta</t>
        </is>
      </c>
      <c r="G8" t="inlineStr">
        <is>
          <t>Vicente Reñasco</t>
        </is>
      </c>
      <c r="H8" t="inlineStr">
        <is>
          <t>2026-10-05</t>
        </is>
      </c>
      <c r="I8" t="inlineStr">
        <is>
          <t>2026-10-07</t>
        </is>
      </c>
      <c r="J8" t="n">
        <v>0.25</v>
      </c>
      <c r="K8" t="n">
        <v>1.25</v>
      </c>
      <c r="L8" t="inlineStr">
        <is>
          <t>Entrega</t>
        </is>
      </c>
      <c r="M8" t="inlineStr">
        <is>
          <t>Pendiente</t>
        </is>
      </c>
    </row>
    <row r="9">
      <c r="A9" t="inlineStr">
        <is>
          <t>R04</t>
        </is>
      </c>
      <c r="B9" t="inlineStr">
        <is>
          <t>Revisar semana y preparar la siguiente</t>
        </is>
      </c>
      <c r="C9" t="inlineStr">
        <is>
          <t>S04</t>
        </is>
      </c>
      <c r="D9" t="inlineStr">
        <is>
          <t>E3</t>
        </is>
      </c>
      <c r="E9" t="inlineStr">
        <is>
          <t>Gestión</t>
        </is>
      </c>
      <c r="F9" t="inlineStr">
        <is>
          <t>Alta</t>
        </is>
      </c>
      <c r="G9" t="inlineStr">
        <is>
          <t>Felipe Espinoza</t>
        </is>
      </c>
      <c r="H9" t="inlineStr">
        <is>
          <t>2026-10-10</t>
        </is>
      </c>
      <c r="I9" t="inlineStr">
        <is>
          <t>2026-10-10</t>
        </is>
      </c>
      <c r="J9" t="n">
        <v>0.5</v>
      </c>
      <c r="K9" t="n">
        <v>2.5</v>
      </c>
      <c r="L9" t="inlineStr">
        <is>
          <t>Proceso</t>
        </is>
      </c>
      <c r="M9" t="inlineStr">
        <is>
          <t>Pendiente</t>
        </is>
      </c>
    </row>
    <row r="10">
      <c r="A10" t="inlineStr">
        <is>
          <t>K027</t>
        </is>
      </c>
      <c r="B10" t="inlineStr">
        <is>
          <t>Implementar cola FIFO y ofertas</t>
        </is>
      </c>
      <c r="C10" t="inlineStr">
        <is>
          <t>S05</t>
        </is>
      </c>
      <c r="D10" t="inlineStr">
        <is>
          <t>E3</t>
        </is>
      </c>
      <c r="E10" t="inlineStr">
        <is>
          <t>Desarrollo</t>
        </is>
      </c>
      <c r="F10" t="inlineStr">
        <is>
          <t>Alta</t>
        </is>
      </c>
      <c r="G10" t="inlineStr">
        <is>
          <t>Clemente Acevedo</t>
        </is>
      </c>
      <c r="H10" t="inlineStr">
        <is>
          <t>2026-10-12</t>
        </is>
      </c>
      <c r="I10" t="inlineStr">
        <is>
          <t>2026-10-14</t>
        </is>
      </c>
      <c r="J10" t="n">
        <v>4</v>
      </c>
      <c r="K10" t="n">
        <v>4.5</v>
      </c>
      <c r="L10" t="inlineStr">
        <is>
          <t>RF07</t>
        </is>
      </c>
      <c r="M10" t="inlineStr">
        <is>
          <t>Pendiente</t>
        </is>
      </c>
    </row>
    <row r="11">
      <c r="A11" t="inlineStr">
        <is>
          <t>K028</t>
        </is>
      </c>
      <c r="B11" t="inlineStr">
        <is>
          <t>Implementar trabajador de vencimientos</t>
        </is>
      </c>
      <c r="C11" t="inlineStr">
        <is>
          <t>S05</t>
        </is>
      </c>
      <c r="D11" t="inlineStr">
        <is>
          <t>E3</t>
        </is>
      </c>
      <c r="E11" t="inlineStr">
        <is>
          <t>Desarrollo</t>
        </is>
      </c>
      <c r="F11" t="inlineStr">
        <is>
          <t>Alta</t>
        </is>
      </c>
      <c r="G11" t="inlineStr">
        <is>
          <t>Felipe Arnolds</t>
        </is>
      </c>
      <c r="H11" t="inlineStr">
        <is>
          <t>2026-10-12</t>
        </is>
      </c>
      <c r="I11" t="inlineStr">
        <is>
          <t>2026-10-14</t>
        </is>
      </c>
      <c r="J11" t="n">
        <v>3.5</v>
      </c>
      <c r="K11" t="n">
        <v>4</v>
      </c>
      <c r="L11" t="inlineStr">
        <is>
          <t>RF08</t>
        </is>
      </c>
      <c r="M11" t="inlineStr">
        <is>
          <t>Pendiente</t>
        </is>
      </c>
    </row>
    <row r="12">
      <c r="A12" t="inlineStr">
        <is>
          <t>K029</t>
        </is>
      </c>
      <c r="B12" t="inlineStr">
        <is>
          <t>Construir espera y aceptación de oferta</t>
        </is>
      </c>
      <c r="C12" t="inlineStr">
        <is>
          <t>S05</t>
        </is>
      </c>
      <c r="D12" t="inlineStr">
        <is>
          <t>E3</t>
        </is>
      </c>
      <c r="E12" t="inlineStr">
        <is>
          <t>Desarrollo</t>
        </is>
      </c>
      <c r="F12" t="inlineStr">
        <is>
          <t>Alta</t>
        </is>
      </c>
      <c r="G12" t="inlineStr">
        <is>
          <t>Jorge Molina</t>
        </is>
      </c>
      <c r="H12" t="inlineStr">
        <is>
          <t>2026-10-12</t>
        </is>
      </c>
      <c r="I12" t="inlineStr">
        <is>
          <t>2026-10-16</t>
        </is>
      </c>
      <c r="J12" t="n">
        <v>3.5</v>
      </c>
      <c r="K12" t="n">
        <v>4</v>
      </c>
      <c r="L12" t="inlineStr">
        <is>
          <t>RF07</t>
        </is>
      </c>
      <c r="M12" t="inlineStr">
        <is>
          <t>Pendiente</t>
        </is>
      </c>
    </row>
    <row r="13">
      <c r="A13" t="inlineStr">
        <is>
          <t>K030</t>
        </is>
      </c>
      <c r="B13" t="inlineStr">
        <is>
          <t>Implementar avisos internos y outbox</t>
        </is>
      </c>
      <c r="C13" t="inlineStr">
        <is>
          <t>S05</t>
        </is>
      </c>
      <c r="D13" t="inlineStr">
        <is>
          <t>E3</t>
        </is>
      </c>
      <c r="E13" t="inlineStr">
        <is>
          <t>Desarrollo</t>
        </is>
      </c>
      <c r="F13" t="inlineStr">
        <is>
          <t>Alta</t>
        </is>
      </c>
      <c r="G13" t="inlineStr">
        <is>
          <t>Felipe Espinoza</t>
        </is>
      </c>
      <c r="H13" t="inlineStr">
        <is>
          <t>2026-10-12</t>
        </is>
      </c>
      <c r="I13" t="inlineStr">
        <is>
          <t>2026-10-16</t>
        </is>
      </c>
      <c r="J13" t="n">
        <v>4</v>
      </c>
      <c r="K13" t="n">
        <v>4.5</v>
      </c>
      <c r="L13" t="inlineStr">
        <is>
          <t>RF09</t>
        </is>
      </c>
      <c r="M13" t="inlineStr">
        <is>
          <t>Pendiente</t>
        </is>
      </c>
    </row>
    <row r="14">
      <c r="A14" t="inlineStr">
        <is>
          <t>K031</t>
        </is>
      </c>
      <c r="B14" t="inlineStr">
        <is>
          <t>Integrar cola y recuperación del trabajador</t>
        </is>
      </c>
      <c r="C14" t="inlineStr">
        <is>
          <t>S05</t>
        </is>
      </c>
      <c r="D14" t="inlineStr">
        <is>
          <t>E3</t>
        </is>
      </c>
      <c r="E14" t="inlineStr">
        <is>
          <t>Pruebas</t>
        </is>
      </c>
      <c r="F14" t="inlineStr">
        <is>
          <t>Alta</t>
        </is>
      </c>
      <c r="G14" t="inlineStr">
        <is>
          <t>Vicente Reñasco</t>
        </is>
      </c>
      <c r="H14" t="inlineStr">
        <is>
          <t>2026-10-17</t>
        </is>
      </c>
      <c r="I14" t="inlineStr">
        <is>
          <t>2026-10-17</t>
        </is>
      </c>
      <c r="J14" t="n">
        <v>3.5</v>
      </c>
      <c r="K14" t="n">
        <v>4</v>
      </c>
      <c r="L14" t="inlineStr">
        <is>
          <t>RF07 RF08 RF09</t>
        </is>
      </c>
      <c r="M14" t="inlineStr">
        <is>
          <t>Pendiente</t>
        </is>
      </c>
    </row>
    <row r="15">
      <c r="A15" t="inlineStr">
        <is>
          <t>R05</t>
        </is>
      </c>
      <c r="B15" t="inlineStr">
        <is>
          <t>Revisar semana y preparar la siguiente</t>
        </is>
      </c>
      <c r="C15" t="inlineStr">
        <is>
          <t>S05</t>
        </is>
      </c>
      <c r="D15" t="inlineStr">
        <is>
          <t>E3</t>
        </is>
      </c>
      <c r="E15" t="inlineStr">
        <is>
          <t>Gestión</t>
        </is>
      </c>
      <c r="F15" t="inlineStr">
        <is>
          <t>Alta</t>
        </is>
      </c>
      <c r="G15" t="inlineStr">
        <is>
          <t>Vicente Reñasco</t>
        </is>
      </c>
      <c r="H15" t="inlineStr">
        <is>
          <t>2026-10-17</t>
        </is>
      </c>
      <c r="I15" t="inlineStr">
        <is>
          <t>2026-10-17</t>
        </is>
      </c>
      <c r="J15" t="n">
        <v>0.5</v>
      </c>
      <c r="K15" t="n">
        <v>2.5</v>
      </c>
      <c r="L15" t="inlineStr">
        <is>
          <t>Proceso</t>
        </is>
      </c>
      <c r="M15" t="inlineStr">
        <is>
          <t>Pendiente</t>
        </is>
      </c>
    </row>
    <row r="16">
      <c r="A16" t="inlineStr">
        <is>
          <t>K032</t>
        </is>
      </c>
      <c r="B16" t="inlineStr">
        <is>
          <t>Revisar índices y medir endpoints</t>
        </is>
      </c>
      <c r="C16" t="inlineStr">
        <is>
          <t>S06</t>
        </is>
      </c>
      <c r="D16" t="inlineStr">
        <is>
          <t>E3</t>
        </is>
      </c>
      <c r="E16" t="inlineStr">
        <is>
          <t>Pruebas</t>
        </is>
      </c>
      <c r="F16" t="inlineStr">
        <is>
          <t>Alta</t>
        </is>
      </c>
      <c r="G16" t="inlineStr">
        <is>
          <t>Clemente Acevedo</t>
        </is>
      </c>
      <c r="H16" t="inlineStr">
        <is>
          <t>2026-10-22</t>
        </is>
      </c>
      <c r="I16" t="inlineStr">
        <is>
          <t>2026-10-24</t>
        </is>
      </c>
      <c r="J16" t="n">
        <v>2.5</v>
      </c>
      <c r="K16" t="n">
        <v>3</v>
      </c>
      <c r="L16" t="inlineStr">
        <is>
          <t>RNF03</t>
        </is>
      </c>
      <c r="M16" t="inlineStr">
        <is>
          <t>Pendiente</t>
        </is>
      </c>
    </row>
    <row r="17">
      <c r="A17" t="inlineStr">
        <is>
          <t>K033</t>
        </is>
      </c>
      <c r="B17" t="inlineStr">
        <is>
          <t>Probar accesibilidad y claridad de estados</t>
        </is>
      </c>
      <c r="C17" t="inlineStr">
        <is>
          <t>S06</t>
        </is>
      </c>
      <c r="D17" t="inlineStr">
        <is>
          <t>E3</t>
        </is>
      </c>
      <c r="E17" t="inlineStr">
        <is>
          <t>Pruebas</t>
        </is>
      </c>
      <c r="F17" t="inlineStr">
        <is>
          <t>Alta</t>
        </is>
      </c>
      <c r="G17" t="inlineStr">
        <is>
          <t>Jorge Molina</t>
        </is>
      </c>
      <c r="H17" t="inlineStr">
        <is>
          <t>2026-10-22</t>
        </is>
      </c>
      <c r="I17" t="inlineStr">
        <is>
          <t>2026-10-24</t>
        </is>
      </c>
      <c r="J17" t="n">
        <v>2.5</v>
      </c>
      <c r="K17" t="n">
        <v>3</v>
      </c>
      <c r="L17" t="inlineStr">
        <is>
          <t>RNF02 RNF06</t>
        </is>
      </c>
      <c r="M17" t="inlineStr">
        <is>
          <t>Pendiente</t>
        </is>
      </c>
    </row>
    <row r="18">
      <c r="A18" t="inlineStr">
        <is>
          <t>K034</t>
        </is>
      </c>
      <c r="B18" t="inlineStr">
        <is>
          <t>Completar límites de seguridad y aislamiento</t>
        </is>
      </c>
      <c r="C18" t="inlineStr">
        <is>
          <t>S06</t>
        </is>
      </c>
      <c r="D18" t="inlineStr">
        <is>
          <t>E3</t>
        </is>
      </c>
      <c r="E18" t="inlineStr">
        <is>
          <t>Desarrollo</t>
        </is>
      </c>
      <c r="F18" t="inlineStr">
        <is>
          <t>Alta</t>
        </is>
      </c>
      <c r="G18" t="inlineStr">
        <is>
          <t>Felipe Arnolds</t>
        </is>
      </c>
      <c r="H18" t="inlineStr">
        <is>
          <t>2026-10-22</t>
        </is>
      </c>
      <c r="I18" t="inlineStr">
        <is>
          <t>2026-10-24</t>
        </is>
      </c>
      <c r="J18" t="n">
        <v>2.5</v>
      </c>
      <c r="K18" t="n">
        <v>3</v>
      </c>
      <c r="L18" t="inlineStr">
        <is>
          <t>RNF05</t>
        </is>
      </c>
      <c r="M18" t="inlineStr">
        <is>
          <t>Pendiente</t>
        </is>
      </c>
    </row>
    <row r="19">
      <c r="A19" t="inlineStr">
        <is>
          <t>K035</t>
        </is>
      </c>
      <c r="B19" t="inlineStr">
        <is>
          <t>Completar panel y agregados básicos</t>
        </is>
      </c>
      <c r="C19" t="inlineStr">
        <is>
          <t>S06</t>
        </is>
      </c>
      <c r="D19" t="inlineStr">
        <is>
          <t>E3</t>
        </is>
      </c>
      <c r="E19" t="inlineStr">
        <is>
          <t>Desarrollo</t>
        </is>
      </c>
      <c r="F19" t="inlineStr">
        <is>
          <t>Alta</t>
        </is>
      </c>
      <c r="G19" t="inlineStr">
        <is>
          <t>Felipe Espinoza</t>
        </is>
      </c>
      <c r="H19" t="inlineStr">
        <is>
          <t>2026-10-22</t>
        </is>
      </c>
      <c r="I19" t="inlineStr">
        <is>
          <t>2026-10-24</t>
        </is>
      </c>
      <c r="J19" t="n">
        <v>2.5</v>
      </c>
      <c r="K19" t="n">
        <v>3</v>
      </c>
      <c r="L19" t="inlineStr">
        <is>
          <t>RF10 RF12</t>
        </is>
      </c>
      <c r="M19" t="inlineStr">
        <is>
          <t>Pendiente</t>
        </is>
      </c>
    </row>
    <row r="20">
      <c r="A20" t="inlineStr">
        <is>
          <t>K036</t>
        </is>
      </c>
      <c r="B20" t="inlineStr">
        <is>
          <t>Instrumentar errores y tareas pendientes</t>
        </is>
      </c>
      <c r="C20" t="inlineStr">
        <is>
          <t>S06</t>
        </is>
      </c>
      <c r="D20" t="inlineStr">
        <is>
          <t>E3</t>
        </is>
      </c>
      <c r="E20" t="inlineStr">
        <is>
          <t>Infraestructura</t>
        </is>
      </c>
      <c r="F20" t="inlineStr">
        <is>
          <t>Alta</t>
        </is>
      </c>
      <c r="G20" t="inlineStr">
        <is>
          <t>Vicente Reñasco</t>
        </is>
      </c>
      <c r="H20" t="inlineStr">
        <is>
          <t>2026-10-22</t>
        </is>
      </c>
      <c r="I20" t="inlineStr">
        <is>
          <t>2026-10-24</t>
        </is>
      </c>
      <c r="J20" t="n">
        <v>2.5</v>
      </c>
      <c r="K20" t="n">
        <v>3</v>
      </c>
      <c r="L20" t="inlineStr">
        <is>
          <t>RNF04</t>
        </is>
      </c>
      <c r="M20" t="inlineStr">
        <is>
          <t>Pendiente</t>
        </is>
      </c>
    </row>
    <row r="21">
      <c r="A21" t="inlineStr">
        <is>
          <t>R06</t>
        </is>
      </c>
      <c r="B21" t="inlineStr">
        <is>
          <t>Revisar semana y preparar la siguiente</t>
        </is>
      </c>
      <c r="C21" t="inlineStr">
        <is>
          <t>S06</t>
        </is>
      </c>
      <c r="D21" t="inlineStr">
        <is>
          <t>E3</t>
        </is>
      </c>
      <c r="E21" t="inlineStr">
        <is>
          <t>Gestión</t>
        </is>
      </c>
      <c r="F21" t="inlineStr">
        <is>
          <t>Alta</t>
        </is>
      </c>
      <c r="G21" t="inlineStr">
        <is>
          <t>Clemente Acevedo</t>
        </is>
      </c>
      <c r="H21" t="inlineStr">
        <is>
          <t>2026-10-24</t>
        </is>
      </c>
      <c r="I21" t="inlineStr">
        <is>
          <t>2026-10-24</t>
        </is>
      </c>
      <c r="J21" t="n">
        <v>0.5</v>
      </c>
      <c r="K21" t="n">
        <v>2.5</v>
      </c>
      <c r="L21" t="inlineStr">
        <is>
          <t>Proceso</t>
        </is>
      </c>
      <c r="M21" t="inlineStr">
        <is>
          <t>Pendiente</t>
        </is>
      </c>
    </row>
    <row r="22">
      <c r="A22" t="inlineStr">
        <is>
          <t>D3</t>
        </is>
      </c>
      <c r="B22" t="inlineStr">
        <is>
          <t>Ensayar presentación y demo de E3</t>
        </is>
      </c>
      <c r="C22" t="inlineStr">
        <is>
          <t>S07</t>
        </is>
      </c>
      <c r="D22" t="inlineStr">
        <is>
          <t>E3</t>
        </is>
      </c>
      <c r="E22" t="inlineStr">
        <is>
          <t>Entrega</t>
        </is>
      </c>
      <c r="F22" t="inlineStr">
        <is>
          <t>Alta</t>
        </is>
      </c>
      <c r="G22" t="inlineStr">
        <is>
          <t>Felipe Espinoza</t>
        </is>
      </c>
      <c r="H22" t="inlineStr">
        <is>
          <t>2026-10-31</t>
        </is>
      </c>
      <c r="I22" t="inlineStr">
        <is>
          <t>2026-10-31</t>
        </is>
      </c>
      <c r="J22" t="n">
        <v>0.75</v>
      </c>
      <c r="K22" t="n">
        <v>3.75</v>
      </c>
      <c r="L22" t="inlineStr">
        <is>
          <t>Entrega</t>
        </is>
      </c>
      <c r="M22" t="inlineStr">
        <is>
          <t>Pendiente</t>
        </is>
      </c>
    </row>
    <row r="23">
      <c r="A23" t="inlineStr">
        <is>
          <t>K037</t>
        </is>
      </c>
      <c r="B23" t="inlineStr">
        <is>
          <t>Implementar chat y cierre de conversación</t>
        </is>
      </c>
      <c r="C23" t="inlineStr">
        <is>
          <t>S07</t>
        </is>
      </c>
      <c r="D23" t="inlineStr">
        <is>
          <t>E3</t>
        </is>
      </c>
      <c r="E23" t="inlineStr">
        <is>
          <t>Desarrollo</t>
        </is>
      </c>
      <c r="F23" t="inlineStr">
        <is>
          <t>Alta</t>
        </is>
      </c>
      <c r="G23" t="inlineStr">
        <is>
          <t>Clemente Acevedo</t>
        </is>
      </c>
      <c r="H23" t="inlineStr">
        <is>
          <t>2026-10-26</t>
        </is>
      </c>
      <c r="I23" t="inlineStr">
        <is>
          <t>2026-10-28</t>
        </is>
      </c>
      <c r="J23" t="n">
        <v>3.5</v>
      </c>
      <c r="K23" t="n">
        <v>4</v>
      </c>
      <c r="L23" t="inlineStr">
        <is>
          <t>RF13</t>
        </is>
      </c>
      <c r="M23" t="inlineStr">
        <is>
          <t>Pendiente</t>
        </is>
      </c>
    </row>
    <row r="24">
      <c r="A24" t="inlineStr">
        <is>
          <t>K038</t>
        </is>
      </c>
      <c r="B24" t="inlineStr">
        <is>
          <t>Integrar chat con polling y reconexión</t>
        </is>
      </c>
      <c r="C24" t="inlineStr">
        <is>
          <t>S07</t>
        </is>
      </c>
      <c r="D24" t="inlineStr">
        <is>
          <t>E3</t>
        </is>
      </c>
      <c r="E24" t="inlineStr">
        <is>
          <t>Desarrollo</t>
        </is>
      </c>
      <c r="F24" t="inlineStr">
        <is>
          <t>Alta</t>
        </is>
      </c>
      <c r="G24" t="inlineStr">
        <is>
          <t>Jorge Molina</t>
        </is>
      </c>
      <c r="H24" t="inlineStr">
        <is>
          <t>2026-10-26</t>
        </is>
      </c>
      <c r="I24" t="inlineStr">
        <is>
          <t>2026-10-29</t>
        </is>
      </c>
      <c r="J24" t="n">
        <v>3</v>
      </c>
      <c r="K24" t="n">
        <v>3.5</v>
      </c>
      <c r="L24" t="inlineStr">
        <is>
          <t>RF13</t>
        </is>
      </c>
      <c r="M24" t="inlineStr">
        <is>
          <t>Pendiente</t>
        </is>
      </c>
    </row>
    <row r="25">
      <c r="A25" t="inlineStr">
        <is>
          <t>K039</t>
        </is>
      </c>
      <c r="B25" t="inlineStr">
        <is>
          <t>Medir carga y calidad para E3</t>
        </is>
      </c>
      <c r="C25" t="inlineStr">
        <is>
          <t>S07</t>
        </is>
      </c>
      <c r="D25" t="inlineStr">
        <is>
          <t>E3</t>
        </is>
      </c>
      <c r="E25" t="inlineStr">
        <is>
          <t>Pruebas</t>
        </is>
      </c>
      <c r="F25" t="inlineStr">
        <is>
          <t>Alta</t>
        </is>
      </c>
      <c r="G25" t="inlineStr">
        <is>
          <t>Felipe Arnolds</t>
        </is>
      </c>
      <c r="H25" t="inlineStr">
        <is>
          <t>2026-10-29</t>
        </is>
      </c>
      <c r="I25" t="inlineStr">
        <is>
          <t>2026-10-30</t>
        </is>
      </c>
      <c r="J25" t="n">
        <v>3</v>
      </c>
      <c r="K25" t="n">
        <v>3.5</v>
      </c>
      <c r="L25" t="inlineStr">
        <is>
          <t>RNF01 RNF03</t>
        </is>
      </c>
      <c r="M25" t="inlineStr">
        <is>
          <t>Pendiente</t>
        </is>
      </c>
    </row>
    <row r="26">
      <c r="A26" t="inlineStr">
        <is>
          <t>K040</t>
        </is>
      </c>
      <c r="B26" t="inlineStr">
        <is>
          <t>Realizar recorridos y preparar demo de E3</t>
        </is>
      </c>
      <c r="C26" t="inlineStr">
        <is>
          <t>S07</t>
        </is>
      </c>
      <c r="D26" t="inlineStr">
        <is>
          <t>E3</t>
        </is>
      </c>
      <c r="E26" t="inlineStr">
        <is>
          <t>Pruebas</t>
        </is>
      </c>
      <c r="F26" t="inlineStr">
        <is>
          <t>Alta</t>
        </is>
      </c>
      <c r="G26" t="inlineStr">
        <is>
          <t>Felipe Espinoza</t>
        </is>
      </c>
      <c r="H26" t="inlineStr">
        <is>
          <t>2026-10-30</t>
        </is>
      </c>
      <c r="I26" t="inlineStr">
        <is>
          <t>2026-10-30</t>
        </is>
      </c>
      <c r="J26" t="n">
        <v>3</v>
      </c>
      <c r="K26" t="n">
        <v>3.5</v>
      </c>
      <c r="L26" t="inlineStr">
        <is>
          <t>E3 RNF02</t>
        </is>
      </c>
      <c r="M26" t="inlineStr">
        <is>
          <t>Pendiente</t>
        </is>
      </c>
    </row>
    <row r="27">
      <c r="A27" t="inlineStr">
        <is>
          <t>K041</t>
        </is>
      </c>
      <c r="B27" t="inlineStr">
        <is>
          <t>Preparar evidencia de proceso y proyección</t>
        </is>
      </c>
      <c r="C27" t="inlineStr">
        <is>
          <t>S07</t>
        </is>
      </c>
      <c r="D27" t="inlineStr">
        <is>
          <t>E3</t>
        </is>
      </c>
      <c r="E27" t="inlineStr">
        <is>
          <t>Entrega</t>
        </is>
      </c>
      <c r="F27" t="inlineStr">
        <is>
          <t>Alta</t>
        </is>
      </c>
      <c r="G27" t="inlineStr">
        <is>
          <t>Vicente Reñasco</t>
        </is>
      </c>
      <c r="H27" t="inlineStr">
        <is>
          <t>2026-10-26</t>
        </is>
      </c>
      <c r="I27" t="inlineStr">
        <is>
          <t>2026-10-29</t>
        </is>
      </c>
      <c r="J27" t="n">
        <v>2.5</v>
      </c>
      <c r="K27" t="n">
        <v>3</v>
      </c>
      <c r="L27" t="inlineStr">
        <is>
          <t>E3</t>
        </is>
      </c>
      <c r="M27" t="inlineStr">
        <is>
          <t>Pendiente</t>
        </is>
      </c>
    </row>
    <row r="28">
      <c r="A28" t="inlineStr">
        <is>
          <t>K042</t>
        </is>
      </c>
      <c r="B28" t="inlineStr">
        <is>
          <t>Armar presentación y enviar E3</t>
        </is>
      </c>
      <c r="C28" t="inlineStr">
        <is>
          <t>S07</t>
        </is>
      </c>
      <c r="D28" t="inlineStr">
        <is>
          <t>E3</t>
        </is>
      </c>
      <c r="E28" t="inlineStr">
        <is>
          <t>Entrega</t>
        </is>
      </c>
      <c r="F28" t="inlineStr">
        <is>
          <t>Alta</t>
        </is>
      </c>
      <c r="G28" t="inlineStr">
        <is>
          <t>Vicente Reñasco</t>
        </is>
      </c>
      <c r="H28" t="inlineStr">
        <is>
          <t>2026-10-31</t>
        </is>
      </c>
      <c r="I28" t="inlineStr">
        <is>
          <t>2026-10-31</t>
        </is>
      </c>
      <c r="J28" t="n">
        <v>1</v>
      </c>
      <c r="K28" t="n">
        <v>1.25</v>
      </c>
      <c r="L28" t="inlineStr">
        <is>
          <t>E3</t>
        </is>
      </c>
      <c r="M28" t="inlineStr">
        <is>
          <t>Pendiente</t>
        </is>
      </c>
    </row>
    <row r="29">
      <c r="A29" t="inlineStr">
        <is>
          <t>R07</t>
        </is>
      </c>
      <c r="B29" t="inlineStr">
        <is>
          <t>Revisar semana y preparar la siguiente</t>
        </is>
      </c>
      <c r="C29" t="inlineStr">
        <is>
          <t>S07</t>
        </is>
      </c>
      <c r="D29" t="inlineStr">
        <is>
          <t>E3</t>
        </is>
      </c>
      <c r="E29" t="inlineStr">
        <is>
          <t>Gestión</t>
        </is>
      </c>
      <c r="F29" t="inlineStr">
        <is>
          <t>Alta</t>
        </is>
      </c>
      <c r="G29" t="inlineStr">
        <is>
          <t>Jorge Molina</t>
        </is>
      </c>
      <c r="H29" t="inlineStr">
        <is>
          <t>2026-10-31</t>
        </is>
      </c>
      <c r="I29" t="inlineStr">
        <is>
          <t>2026-10-31</t>
        </is>
      </c>
      <c r="J29" t="n">
        <v>0.5</v>
      </c>
      <c r="K29" t="n">
        <v>2.5</v>
      </c>
      <c r="L29" t="inlineStr">
        <is>
          <t>Proceso</t>
        </is>
      </c>
      <c r="M29" t="inlineStr">
        <is>
          <t>Pendiente</t>
        </is>
      </c>
    </row>
    <row r="30">
      <c r="A30" t="inlineStr">
        <is>
          <t>K043</t>
        </is>
      </c>
      <c r="B30" t="inlineStr">
        <is>
          <t>Implementar incidencias y destinatarios</t>
        </is>
      </c>
      <c r="C30" t="inlineStr">
        <is>
          <t>S08</t>
        </is>
      </c>
      <c r="D30" t="inlineStr">
        <is>
          <t>E4</t>
        </is>
      </c>
      <c r="E30" t="inlineStr">
        <is>
          <t>Desarrollo</t>
        </is>
      </c>
      <c r="F30" t="inlineStr">
        <is>
          <t>Alta</t>
        </is>
      </c>
      <c r="G30" t="inlineStr">
        <is>
          <t>Felipe Arnolds</t>
        </is>
      </c>
      <c r="H30" t="inlineStr">
        <is>
          <t>2026-11-02</t>
        </is>
      </c>
      <c r="I30" t="inlineStr">
        <is>
          <t>2026-11-04</t>
        </is>
      </c>
      <c r="J30" t="n">
        <v>4</v>
      </c>
      <c r="K30" t="n">
        <v>4.5</v>
      </c>
      <c r="L30" t="inlineStr">
        <is>
          <t>RF11 RF09</t>
        </is>
      </c>
      <c r="M30" t="inlineStr">
        <is>
          <t>Pendiente</t>
        </is>
      </c>
    </row>
    <row r="31">
      <c r="A31" t="inlineStr">
        <is>
          <t>K044</t>
        </is>
      </c>
      <c r="B31" t="inlineStr">
        <is>
          <t>Integrar cierre por incidencia y aviso recuperable</t>
        </is>
      </c>
      <c r="C31" t="inlineStr">
        <is>
          <t>S08</t>
        </is>
      </c>
      <c r="D31" t="inlineStr">
        <is>
          <t>E4</t>
        </is>
      </c>
      <c r="E31" t="inlineStr">
        <is>
          <t>Desarrollo</t>
        </is>
      </c>
      <c r="F31" t="inlineStr">
        <is>
          <t>Alta</t>
        </is>
      </c>
      <c r="G31" t="inlineStr">
        <is>
          <t>Clemente Acevedo</t>
        </is>
      </c>
      <c r="H31" t="inlineStr">
        <is>
          <t>2026-11-05</t>
        </is>
      </c>
      <c r="I31" t="inlineStr">
        <is>
          <t>2026-11-06</t>
        </is>
      </c>
      <c r="J31" t="n">
        <v>4</v>
      </c>
      <c r="K31" t="n">
        <v>4.5</v>
      </c>
      <c r="L31" t="inlineStr">
        <is>
          <t>RF11 RF06 RF09</t>
        </is>
      </c>
      <c r="M31" t="inlineStr">
        <is>
          <t>Pendiente</t>
        </is>
      </c>
    </row>
    <row r="32">
      <c r="A32" t="inlineStr">
        <is>
          <t>K045</t>
        </is>
      </c>
      <c r="B32" t="inlineStr">
        <is>
          <t>Mostrar incidencias en historial y bandeja</t>
        </is>
      </c>
      <c r="C32" t="inlineStr">
        <is>
          <t>S08</t>
        </is>
      </c>
      <c r="D32" t="inlineStr">
        <is>
          <t>E4</t>
        </is>
      </c>
      <c r="E32" t="inlineStr">
        <is>
          <t>Desarrollo</t>
        </is>
      </c>
      <c r="F32" t="inlineStr">
        <is>
          <t>Alta</t>
        </is>
      </c>
      <c r="G32" t="inlineStr">
        <is>
          <t>Jorge Molina</t>
        </is>
      </c>
      <c r="H32" t="inlineStr">
        <is>
          <t>2026-11-02</t>
        </is>
      </c>
      <c r="I32" t="inlineStr">
        <is>
          <t>2026-11-06</t>
        </is>
      </c>
      <c r="J32" t="n">
        <v>3.5</v>
      </c>
      <c r="K32" t="n">
        <v>4</v>
      </c>
      <c r="L32" t="inlineStr">
        <is>
          <t>RF11 RF09</t>
        </is>
      </c>
      <c r="M32" t="inlineStr">
        <is>
          <t>Pendiente</t>
        </is>
      </c>
    </row>
    <row r="33">
      <c r="A33" t="inlineStr">
        <is>
          <t>K046</t>
        </is>
      </c>
      <c r="B33" t="inlineStr">
        <is>
          <t>Crear gestión de incidencias del operador</t>
        </is>
      </c>
      <c r="C33" t="inlineStr">
        <is>
          <t>S08</t>
        </is>
      </c>
      <c r="D33" t="inlineStr">
        <is>
          <t>E4</t>
        </is>
      </c>
      <c r="E33" t="inlineStr">
        <is>
          <t>Desarrollo</t>
        </is>
      </c>
      <c r="F33" t="inlineStr">
        <is>
          <t>Alta</t>
        </is>
      </c>
      <c r="G33" t="inlineStr">
        <is>
          <t>Felipe Espinoza</t>
        </is>
      </c>
      <c r="H33" t="inlineStr">
        <is>
          <t>2026-11-02</t>
        </is>
      </c>
      <c r="I33" t="inlineStr">
        <is>
          <t>2026-11-06</t>
        </is>
      </c>
      <c r="J33" t="n">
        <v>3.5</v>
      </c>
      <c r="K33" t="n">
        <v>4</v>
      </c>
      <c r="L33" t="inlineStr">
        <is>
          <t>RF11 RF10</t>
        </is>
      </c>
      <c r="M33" t="inlineStr">
        <is>
          <t>Pendiente</t>
        </is>
      </c>
    </row>
    <row r="34">
      <c r="A34" t="inlineStr">
        <is>
          <t>K047</t>
        </is>
      </c>
      <c r="B34" t="inlineStr">
        <is>
          <t>Probar seguimiento después de entregar</t>
        </is>
      </c>
      <c r="C34" t="inlineStr">
        <is>
          <t>S08</t>
        </is>
      </c>
      <c r="D34" t="inlineStr">
        <is>
          <t>E4</t>
        </is>
      </c>
      <c r="E34" t="inlineStr">
        <is>
          <t>Pruebas</t>
        </is>
      </c>
      <c r="F34" t="inlineStr">
        <is>
          <t>Alta</t>
        </is>
      </c>
      <c r="G34" t="inlineStr">
        <is>
          <t>Vicente Reñasco</t>
        </is>
      </c>
      <c r="H34" t="inlineStr">
        <is>
          <t>2026-11-07</t>
        </is>
      </c>
      <c r="I34" t="inlineStr">
        <is>
          <t>2026-11-07</t>
        </is>
      </c>
      <c r="J34" t="n">
        <v>4</v>
      </c>
      <c r="K34" t="n">
        <v>4.5</v>
      </c>
      <c r="L34" t="inlineStr">
        <is>
          <t>RF11 RF09 RNF01</t>
        </is>
      </c>
      <c r="M34" t="inlineStr">
        <is>
          <t>Pendiente</t>
        </is>
      </c>
    </row>
    <row r="35">
      <c r="A35" t="inlineStr">
        <is>
          <t>K048</t>
        </is>
      </c>
      <c r="B35" t="inlineStr">
        <is>
          <t>Resolver feedback y alcance de E3</t>
        </is>
      </c>
      <c r="C35" t="inlineStr">
        <is>
          <t>S08</t>
        </is>
      </c>
      <c r="D35" t="inlineStr">
        <is>
          <t>E4</t>
        </is>
      </c>
      <c r="E35" t="inlineStr">
        <is>
          <t>Gestión</t>
        </is>
      </c>
      <c r="F35" t="inlineStr">
        <is>
          <t>Alta</t>
        </is>
      </c>
      <c r="G35" t="inlineStr">
        <is>
          <t>Jorge Molina</t>
        </is>
      </c>
      <c r="H35" t="inlineStr">
        <is>
          <t>2026-11-06</t>
        </is>
      </c>
      <c r="I35" t="inlineStr">
        <is>
          <t>2026-11-07</t>
        </is>
      </c>
      <c r="J35" t="n">
        <v>0.75</v>
      </c>
      <c r="K35" t="n">
        <v>1</v>
      </c>
      <c r="L35" t="inlineStr">
        <is>
          <t>E3 E4</t>
        </is>
      </c>
      <c r="M35" t="inlineStr">
        <is>
          <t>Pendiente</t>
        </is>
      </c>
    </row>
    <row r="36">
      <c r="A36" t="inlineStr">
        <is>
          <t>P3</t>
        </is>
      </c>
      <c r="B36" t="inlineStr">
        <is>
          <t>Presentar E3 y guardar observaciones</t>
        </is>
      </c>
      <c r="C36" t="inlineStr">
        <is>
          <t>S08</t>
        </is>
      </c>
      <c r="D36" t="inlineStr">
        <is>
          <t>E3</t>
        </is>
      </c>
      <c r="E36" t="inlineStr">
        <is>
          <t>Entrega</t>
        </is>
      </c>
      <c r="F36" t="inlineStr">
        <is>
          <t>Alta</t>
        </is>
      </c>
      <c r="G36" t="inlineStr">
        <is>
          <t>Felipe Espinoza</t>
        </is>
      </c>
      <c r="H36" t="inlineStr">
        <is>
          <t>2026-11-02</t>
        </is>
      </c>
      <c r="I36" t="inlineStr">
        <is>
          <t>2026-11-04</t>
        </is>
      </c>
      <c r="J36" t="n">
        <v>0.25</v>
      </c>
      <c r="K36" t="n">
        <v>1.25</v>
      </c>
      <c r="L36" t="inlineStr">
        <is>
          <t>Entrega</t>
        </is>
      </c>
      <c r="M36" t="inlineStr">
        <is>
          <t>Pendiente</t>
        </is>
      </c>
    </row>
    <row r="37">
      <c r="A37" t="inlineStr">
        <is>
          <t>R08</t>
        </is>
      </c>
      <c r="B37" t="inlineStr">
        <is>
          <t>Revisar semana y preparar la siguiente</t>
        </is>
      </c>
      <c r="C37" t="inlineStr">
        <is>
          <t>S08</t>
        </is>
      </c>
      <c r="D37" t="inlineStr">
        <is>
          <t>E4</t>
        </is>
      </c>
      <c r="E37" t="inlineStr">
        <is>
          <t>Gestión</t>
        </is>
      </c>
      <c r="F37" t="inlineStr">
        <is>
          <t>Alta</t>
        </is>
      </c>
      <c r="G37" t="inlineStr">
        <is>
          <t>Felipe Arnolds</t>
        </is>
      </c>
      <c r="H37" t="inlineStr">
        <is>
          <t>2026-11-07</t>
        </is>
      </c>
      <c r="I37" t="inlineStr">
        <is>
          <t>2026-11-07</t>
        </is>
      </c>
      <c r="J37" t="n">
        <v>0.5</v>
      </c>
      <c r="K37" t="n">
        <v>2.5</v>
      </c>
      <c r="L37" t="inlineStr">
        <is>
          <t>Proceso</t>
        </is>
      </c>
      <c r="M37" t="inlineStr">
        <is>
          <t>Pendiente</t>
        </is>
      </c>
    </row>
    <row r="38">
      <c r="A38" t="inlineStr">
        <is>
          <t>K049</t>
        </is>
      </c>
      <c r="B38" t="inlineStr">
        <is>
          <t>Ejecutar regresión de inventario y códigos</t>
        </is>
      </c>
      <c r="C38" t="inlineStr">
        <is>
          <t>S09</t>
        </is>
      </c>
      <c r="D38" t="inlineStr">
        <is>
          <t>E4</t>
        </is>
      </c>
      <c r="E38" t="inlineStr">
        <is>
          <t>Pruebas</t>
        </is>
      </c>
      <c r="F38" t="inlineStr">
        <is>
          <t>Alta</t>
        </is>
      </c>
      <c r="G38" t="inlineStr">
        <is>
          <t>Clemente Acevedo</t>
        </is>
      </c>
      <c r="H38" t="inlineStr">
        <is>
          <t>2026-11-09</t>
        </is>
      </c>
      <c r="I38" t="inlineStr">
        <is>
          <t>2026-11-12</t>
        </is>
      </c>
      <c r="J38" t="n">
        <v>3.5</v>
      </c>
      <c r="K38" t="n">
        <v>4</v>
      </c>
      <c r="L38" t="inlineStr">
        <is>
          <t>RF04 RF05 RF06 RF07 RF08</t>
        </is>
      </c>
      <c r="M38" t="inlineStr">
        <is>
          <t>Pendiente</t>
        </is>
      </c>
    </row>
    <row r="39">
      <c r="A39" t="inlineStr">
        <is>
          <t>K050</t>
        </is>
      </c>
      <c r="B39" t="inlineStr">
        <is>
          <t>Corregir experiencia y accesibilidad</t>
        </is>
      </c>
      <c r="C39" t="inlineStr">
        <is>
          <t>S09</t>
        </is>
      </c>
      <c r="D39" t="inlineStr">
        <is>
          <t>E4</t>
        </is>
      </c>
      <c r="E39" t="inlineStr">
        <is>
          <t>Desarrollo</t>
        </is>
      </c>
      <c r="F39" t="inlineStr">
        <is>
          <t>Alta</t>
        </is>
      </c>
      <c r="G39" t="inlineStr">
        <is>
          <t>Jorge Molina</t>
        </is>
      </c>
      <c r="H39" t="inlineStr">
        <is>
          <t>2026-11-09</t>
        </is>
      </c>
      <c r="I39" t="inlineStr">
        <is>
          <t>2026-11-12</t>
        </is>
      </c>
      <c r="J39" t="n">
        <v>3.5</v>
      </c>
      <c r="K39" t="n">
        <v>4</v>
      </c>
      <c r="L39" t="inlineStr">
        <is>
          <t>RNF02 RNF04 RNF06</t>
        </is>
      </c>
      <c r="M39" t="inlineStr">
        <is>
          <t>Pendiente</t>
        </is>
      </c>
    </row>
    <row r="40">
      <c r="A40" t="inlineStr">
        <is>
          <t>K051</t>
        </is>
      </c>
      <c r="B40" t="inlineStr">
        <is>
          <t>Probar imágenes y retención de datos</t>
        </is>
      </c>
      <c r="C40" t="inlineStr">
        <is>
          <t>S09</t>
        </is>
      </c>
      <c r="D40" t="inlineStr">
        <is>
          <t>E4</t>
        </is>
      </c>
      <c r="E40" t="inlineStr">
        <is>
          <t>Pruebas</t>
        </is>
      </c>
      <c r="F40" t="inlineStr">
        <is>
          <t>Alta</t>
        </is>
      </c>
      <c r="G40" t="inlineStr">
        <is>
          <t>Felipe Arnolds</t>
        </is>
      </c>
      <c r="H40" t="inlineStr">
        <is>
          <t>2026-11-09</t>
        </is>
      </c>
      <c r="I40" t="inlineStr">
        <is>
          <t>2026-11-12</t>
        </is>
      </c>
      <c r="J40" t="n">
        <v>3.5</v>
      </c>
      <c r="K40" t="n">
        <v>4</v>
      </c>
      <c r="L40" t="inlineStr">
        <is>
          <t>RF02 RF11 RNF05</t>
        </is>
      </c>
      <c r="M40" t="inlineStr">
        <is>
          <t>Pendiente</t>
        </is>
      </c>
    </row>
    <row r="41">
      <c r="A41" t="inlineStr">
        <is>
          <t>K052</t>
        </is>
      </c>
      <c r="B41" t="inlineStr">
        <is>
          <t>Redactar manual y casos de demo final</t>
        </is>
      </c>
      <c r="C41" t="inlineStr">
        <is>
          <t>S09</t>
        </is>
      </c>
      <c r="D41" t="inlineStr">
        <is>
          <t>E4</t>
        </is>
      </c>
      <c r="E41" t="inlineStr">
        <is>
          <t>Documentación</t>
        </is>
      </c>
      <c r="F41" t="inlineStr">
        <is>
          <t>Alta</t>
        </is>
      </c>
      <c r="G41" t="inlineStr">
        <is>
          <t>Felipe Espinoza</t>
        </is>
      </c>
      <c r="H41" t="inlineStr">
        <is>
          <t>2026-11-09</t>
        </is>
      </c>
      <c r="I41" t="inlineStr">
        <is>
          <t>2026-11-12</t>
        </is>
      </c>
      <c r="J41" t="n">
        <v>3</v>
      </c>
      <c r="K41" t="n">
        <v>3.5</v>
      </c>
      <c r="L41" t="inlineStr">
        <is>
          <t>E4</t>
        </is>
      </c>
      <c r="M41" t="inlineStr">
        <is>
          <t>Pendiente</t>
        </is>
      </c>
    </row>
    <row r="42">
      <c r="A42" t="inlineStr">
        <is>
          <t>K053</t>
        </is>
      </c>
      <c r="B42" t="inlineStr">
        <is>
          <t>Ensayar restauración y reversión</t>
        </is>
      </c>
      <c r="C42" t="inlineStr">
        <is>
          <t>S09</t>
        </is>
      </c>
      <c r="D42" t="inlineStr">
        <is>
          <t>E4</t>
        </is>
      </c>
      <c r="E42" t="inlineStr">
        <is>
          <t>Pruebas</t>
        </is>
      </c>
      <c r="F42" t="inlineStr">
        <is>
          <t>Alta</t>
        </is>
      </c>
      <c r="G42" t="inlineStr">
        <is>
          <t>Vicente Reñasco</t>
        </is>
      </c>
      <c r="H42" t="inlineStr">
        <is>
          <t>2026-11-09</t>
        </is>
      </c>
      <c r="I42" t="inlineStr">
        <is>
          <t>2026-11-13</t>
        </is>
      </c>
      <c r="J42" t="n">
        <v>4</v>
      </c>
      <c r="K42" t="n">
        <v>4.5</v>
      </c>
      <c r="L42" t="inlineStr">
        <is>
          <t>RNF08</t>
        </is>
      </c>
      <c r="M42" t="inlineStr">
        <is>
          <t>Pendiente</t>
        </is>
      </c>
    </row>
    <row r="43">
      <c r="A43" t="inlineStr">
        <is>
          <t>K054</t>
        </is>
      </c>
      <c r="B43" t="inlineStr">
        <is>
          <t>Cerrar defectos bloqueantes del MVP</t>
        </is>
      </c>
      <c r="C43" t="inlineStr">
        <is>
          <t>S09</t>
        </is>
      </c>
      <c r="D43" t="inlineStr">
        <is>
          <t>E4</t>
        </is>
      </c>
      <c r="E43" t="inlineStr">
        <is>
          <t>Gestión</t>
        </is>
      </c>
      <c r="F43" t="inlineStr">
        <is>
          <t>Alta</t>
        </is>
      </c>
      <c r="G43" t="inlineStr">
        <is>
          <t>Felipe Espinoza</t>
        </is>
      </c>
      <c r="H43" t="inlineStr">
        <is>
          <t>2026-11-14</t>
        </is>
      </c>
      <c r="I43" t="inlineStr">
        <is>
          <t>2026-11-14</t>
        </is>
      </c>
      <c r="J43" t="n">
        <v>1</v>
      </c>
      <c r="K43" t="n">
        <v>1.25</v>
      </c>
      <c r="L43" t="inlineStr">
        <is>
          <t>E4</t>
        </is>
      </c>
      <c r="M43" t="inlineStr">
        <is>
          <t>Pendiente</t>
        </is>
      </c>
    </row>
    <row r="44">
      <c r="A44" t="inlineStr">
        <is>
          <t>R09</t>
        </is>
      </c>
      <c r="B44" t="inlineStr">
        <is>
          <t>Revisar semana y preparar la siguiente</t>
        </is>
      </c>
      <c r="C44" t="inlineStr">
        <is>
          <t>S09</t>
        </is>
      </c>
      <c r="D44" t="inlineStr">
        <is>
          <t>E4</t>
        </is>
      </c>
      <c r="E44" t="inlineStr">
        <is>
          <t>Gestión</t>
        </is>
      </c>
      <c r="F44" t="inlineStr">
        <is>
          <t>Alta</t>
        </is>
      </c>
      <c r="G44" t="inlineStr">
        <is>
          <t>Felipe Espinoza</t>
        </is>
      </c>
      <c r="H44" t="inlineStr">
        <is>
          <t>2026-11-14</t>
        </is>
      </c>
      <c r="I44" t="inlineStr">
        <is>
          <t>2026-11-14</t>
        </is>
      </c>
      <c r="J44" t="n">
        <v>0.5</v>
      </c>
      <c r="K44" t="n">
        <v>2.5</v>
      </c>
      <c r="L44" t="inlineStr">
        <is>
          <t>Proceso</t>
        </is>
      </c>
      <c r="M44" t="inlineStr">
        <is>
          <t>Pendiente</t>
        </is>
      </c>
    </row>
    <row r="45">
      <c r="A45" t="inlineStr">
        <is>
          <t>D4</t>
        </is>
      </c>
      <c r="B45" t="inlineStr">
        <is>
          <t>Ensayar presentación y demo de E4</t>
        </is>
      </c>
      <c r="C45" t="inlineStr">
        <is>
          <t>S10</t>
        </is>
      </c>
      <c r="D45" t="inlineStr">
        <is>
          <t>E4</t>
        </is>
      </c>
      <c r="E45" t="inlineStr">
        <is>
          <t>Entrega</t>
        </is>
      </c>
      <c r="F45" t="inlineStr">
        <is>
          <t>Alta</t>
        </is>
      </c>
      <c r="G45" t="inlineStr">
        <is>
          <t>Jorge Molina</t>
        </is>
      </c>
      <c r="H45" t="inlineStr">
        <is>
          <t>2026-11-21</t>
        </is>
      </c>
      <c r="I45" t="inlineStr">
        <is>
          <t>2026-11-21</t>
        </is>
      </c>
      <c r="J45" t="n">
        <v>0.75</v>
      </c>
      <c r="K45" t="n">
        <v>3.75</v>
      </c>
      <c r="L45" t="inlineStr">
        <is>
          <t>Entrega</t>
        </is>
      </c>
      <c r="M45" t="inlineStr">
        <is>
          <t>Pendiente</t>
        </is>
      </c>
    </row>
    <row r="46">
      <c r="A46" t="inlineStr">
        <is>
          <t>K055</t>
        </is>
      </c>
      <c r="B46" t="inlineStr">
        <is>
          <t>Preparar candidato y release final</t>
        </is>
      </c>
      <c r="C46" t="inlineStr">
        <is>
          <t>S10</t>
        </is>
      </c>
      <c r="D46" t="inlineStr">
        <is>
          <t>E4</t>
        </is>
      </c>
      <c r="E46" t="inlineStr">
        <is>
          <t>Infraestructura</t>
        </is>
      </c>
      <c r="F46" t="inlineStr">
        <is>
          <t>Alta</t>
        </is>
      </c>
      <c r="G46" t="inlineStr">
        <is>
          <t>Clemente Acevedo</t>
        </is>
      </c>
      <c r="H46" t="inlineStr">
        <is>
          <t>2026-11-16</t>
        </is>
      </c>
      <c r="I46" t="inlineStr">
        <is>
          <t>2026-11-18</t>
        </is>
      </c>
      <c r="J46" t="n">
        <v>3</v>
      </c>
      <c r="K46" t="n">
        <v>3.5</v>
      </c>
      <c r="L46" t="inlineStr">
        <is>
          <t>E4</t>
        </is>
      </c>
      <c r="M46" t="inlineStr">
        <is>
          <t>Pendiente</t>
        </is>
      </c>
    </row>
    <row r="47">
      <c r="A47" t="inlineStr">
        <is>
          <t>K056</t>
        </is>
      </c>
      <c r="B47" t="inlineStr">
        <is>
          <t>Ejecutar aceptación completa del MVP</t>
        </is>
      </c>
      <c r="C47" t="inlineStr">
        <is>
          <t>S10</t>
        </is>
      </c>
      <c r="D47" t="inlineStr">
        <is>
          <t>E4</t>
        </is>
      </c>
      <c r="E47" t="inlineStr">
        <is>
          <t>Pruebas</t>
        </is>
      </c>
      <c r="F47" t="inlineStr">
        <is>
          <t>Alta</t>
        </is>
      </c>
      <c r="G47" t="inlineStr">
        <is>
          <t>Jorge Molina</t>
        </is>
      </c>
      <c r="H47" t="inlineStr">
        <is>
          <t>2026-11-19</t>
        </is>
      </c>
      <c r="I47" t="inlineStr">
        <is>
          <t>2026-11-20</t>
        </is>
      </c>
      <c r="J47" t="n">
        <v>3.5</v>
      </c>
      <c r="K47" t="n">
        <v>4</v>
      </c>
      <c r="L47" t="inlineStr">
        <is>
          <t>RF01 RF02 RF03 RF04 RF05 RF06 RF07 RF08 RF09 RF10 RF11 RF12 RF13</t>
        </is>
      </c>
      <c r="M47" t="inlineStr">
        <is>
          <t>Pendiente</t>
        </is>
      </c>
    </row>
    <row r="48">
      <c r="A48" t="inlineStr">
        <is>
          <t>K057</t>
        </is>
      </c>
      <c r="B48" t="inlineStr">
        <is>
          <t>Actualizar arquitectura y paquete técnico</t>
        </is>
      </c>
      <c r="C48" t="inlineStr">
        <is>
          <t>S10</t>
        </is>
      </c>
      <c r="D48" t="inlineStr">
        <is>
          <t>E4</t>
        </is>
      </c>
      <c r="E48" t="inlineStr">
        <is>
          <t>Documentación</t>
        </is>
      </c>
      <c r="F48" t="inlineStr">
        <is>
          <t>Alta</t>
        </is>
      </c>
      <c r="G48" t="inlineStr">
        <is>
          <t>Felipe Arnolds</t>
        </is>
      </c>
      <c r="H48" t="inlineStr">
        <is>
          <t>2026-11-16</t>
        </is>
      </c>
      <c r="I48" t="inlineStr">
        <is>
          <t>2026-11-19</t>
        </is>
      </c>
      <c r="J48" t="n">
        <v>3</v>
      </c>
      <c r="K48" t="n">
        <v>3.5</v>
      </c>
      <c r="L48" t="inlineStr">
        <is>
          <t>E4</t>
        </is>
      </c>
      <c r="M48" t="inlineStr">
        <is>
          <t>Pendiente</t>
        </is>
      </c>
    </row>
    <row r="49">
      <c r="A49" t="inlineStr">
        <is>
          <t>K058</t>
        </is>
      </c>
      <c r="B49" t="inlineStr">
        <is>
          <t>Preparar presentación y retrospectiva final</t>
        </is>
      </c>
      <c r="C49" t="inlineStr">
        <is>
          <t>S10</t>
        </is>
      </c>
      <c r="D49" t="inlineStr">
        <is>
          <t>E4</t>
        </is>
      </c>
      <c r="E49" t="inlineStr">
        <is>
          <t>Entrega</t>
        </is>
      </c>
      <c r="F49" t="inlineStr">
        <is>
          <t>Alta</t>
        </is>
      </c>
      <c r="G49" t="inlineStr">
        <is>
          <t>Felipe Espinoza</t>
        </is>
      </c>
      <c r="H49" t="inlineStr">
        <is>
          <t>2026-11-16</t>
        </is>
      </c>
      <c r="I49" t="inlineStr">
        <is>
          <t>2026-11-19</t>
        </is>
      </c>
      <c r="J49" t="n">
        <v>3</v>
      </c>
      <c r="K49" t="n">
        <v>3.5</v>
      </c>
      <c r="L49" t="inlineStr">
        <is>
          <t>E4</t>
        </is>
      </c>
      <c r="M49" t="inlineStr">
        <is>
          <t>Pendiente</t>
        </is>
      </c>
    </row>
    <row r="50">
      <c r="A50" t="inlineStr">
        <is>
          <t>K059</t>
        </is>
      </c>
      <c r="B50" t="inlineStr">
        <is>
          <t>Verificar operación y respaldo de la demo</t>
        </is>
      </c>
      <c r="C50" t="inlineStr">
        <is>
          <t>S10</t>
        </is>
      </c>
      <c r="D50" t="inlineStr">
        <is>
          <t>E4</t>
        </is>
      </c>
      <c r="E50" t="inlineStr">
        <is>
          <t>Pruebas</t>
        </is>
      </c>
      <c r="F50" t="inlineStr">
        <is>
          <t>Alta</t>
        </is>
      </c>
      <c r="G50" t="inlineStr">
        <is>
          <t>Vicente Reñasco</t>
        </is>
      </c>
      <c r="H50" t="inlineStr">
        <is>
          <t>2026-11-19</t>
        </is>
      </c>
      <c r="I50" t="inlineStr">
        <is>
          <t>2026-11-20</t>
        </is>
      </c>
      <c r="J50" t="n">
        <v>3</v>
      </c>
      <c r="K50" t="n">
        <v>3.5</v>
      </c>
      <c r="L50" t="inlineStr">
        <is>
          <t>E4</t>
        </is>
      </c>
      <c r="M50" t="inlineStr">
        <is>
          <t>Pendiente</t>
        </is>
      </c>
    </row>
    <row r="51">
      <c r="A51" t="inlineStr">
        <is>
          <t>K060</t>
        </is>
      </c>
      <c r="B51" t="inlineStr">
        <is>
          <t>Enviar material y congelar E4</t>
        </is>
      </c>
      <c r="C51" t="inlineStr">
        <is>
          <t>S10</t>
        </is>
      </c>
      <c r="D51" t="inlineStr">
        <is>
          <t>E4</t>
        </is>
      </c>
      <c r="E51" t="inlineStr">
        <is>
          <t>Entrega</t>
        </is>
      </c>
      <c r="F51" t="inlineStr">
        <is>
          <t>Alta</t>
        </is>
      </c>
      <c r="G51" t="inlineStr">
        <is>
          <t>Clemente Acevedo</t>
        </is>
      </c>
      <c r="H51" t="inlineStr">
        <is>
          <t>2026-11-21</t>
        </is>
      </c>
      <c r="I51" t="inlineStr">
        <is>
          <t>2026-11-21</t>
        </is>
      </c>
      <c r="J51" t="n">
        <v>1</v>
      </c>
      <c r="K51" t="n">
        <v>1.25</v>
      </c>
      <c r="L51" t="inlineStr">
        <is>
          <t>E4</t>
        </is>
      </c>
      <c r="M51" t="inlineStr">
        <is>
          <t>Pendiente</t>
        </is>
      </c>
    </row>
    <row r="52">
      <c r="A52" t="inlineStr">
        <is>
          <t>R10</t>
        </is>
      </c>
      <c r="B52" t="inlineStr">
        <is>
          <t>Revisar semana y preparar la siguiente</t>
        </is>
      </c>
      <c r="C52" t="inlineStr">
        <is>
          <t>S10</t>
        </is>
      </c>
      <c r="D52" t="inlineStr">
        <is>
          <t>E4</t>
        </is>
      </c>
      <c r="E52" t="inlineStr">
        <is>
          <t>Gestión</t>
        </is>
      </c>
      <c r="F52" t="inlineStr">
        <is>
          <t>Alta</t>
        </is>
      </c>
      <c r="G52" t="inlineStr">
        <is>
          <t>Vicente Reñasco</t>
        </is>
      </c>
      <c r="H52" t="inlineStr">
        <is>
          <t>2026-11-21</t>
        </is>
      </c>
      <c r="I52" t="inlineStr">
        <is>
          <t>2026-11-21</t>
        </is>
      </c>
      <c r="J52" t="n">
        <v>0.5</v>
      </c>
      <c r="K52" t="n">
        <v>2.5</v>
      </c>
      <c r="L52" t="inlineStr">
        <is>
          <t>Proceso</t>
        </is>
      </c>
      <c r="M52" t="inlineStr">
        <is>
          <t>Pendiente</t>
        </is>
      </c>
    </row>
    <row r="53">
      <c r="A53" t="inlineStr">
        <is>
          <t>K061</t>
        </is>
      </c>
      <c r="B53" t="inlineStr">
        <is>
          <t>Presentar MVP y registrar observaciones</t>
        </is>
      </c>
      <c r="C53" t="inlineStr">
        <is>
          <t>S11</t>
        </is>
      </c>
      <c r="D53" t="inlineStr">
        <is>
          <t>E4</t>
        </is>
      </c>
      <c r="E53" t="inlineStr">
        <is>
          <t>Entrega</t>
        </is>
      </c>
      <c r="F53" t="inlineStr">
        <is>
          <t>Alta</t>
        </is>
      </c>
      <c r="G53" t="inlineStr">
        <is>
          <t>Clemente Acevedo</t>
        </is>
      </c>
      <c r="H53" t="inlineStr">
        <is>
          <t>2026-11-23</t>
        </is>
      </c>
      <c r="I53" t="inlineStr">
        <is>
          <t>2026-11-25</t>
        </is>
      </c>
      <c r="J53" t="n">
        <v>0.25</v>
      </c>
      <c r="K53" t="n">
        <v>1.25</v>
      </c>
      <c r="L53" t="inlineStr">
        <is>
          <t>E4</t>
        </is>
      </c>
      <c r="M53" t="inlineStr">
        <is>
          <t>Pendiente</t>
        </is>
      </c>
    </row>
    <row r="54">
      <c r="A54" t="inlineStr">
        <is>
          <t>K062</t>
        </is>
      </c>
      <c r="B54" t="inlineStr">
        <is>
          <t>Archivar material y cerrar accesos del piloto</t>
        </is>
      </c>
      <c r="C54" t="inlineStr">
        <is>
          <t>S11</t>
        </is>
      </c>
      <c r="D54" t="inlineStr">
        <is>
          <t>E4</t>
        </is>
      </c>
      <c r="E54" t="inlineStr">
        <is>
          <t>Gestión</t>
        </is>
      </c>
      <c r="F54" t="inlineStr">
        <is>
          <t>Alta</t>
        </is>
      </c>
      <c r="G54" t="inlineStr">
        <is>
          <t>Vicente Reñasco</t>
        </is>
      </c>
      <c r="H54" t="inlineStr">
        <is>
          <t>2026-11-26</t>
        </is>
      </c>
      <c r="I54" t="inlineStr">
        <is>
          <t>2026-11-27</t>
        </is>
      </c>
      <c r="J54" t="n">
        <v>0.75</v>
      </c>
      <c r="K54" t="n">
        <v>1</v>
      </c>
      <c r="L54" t="inlineStr">
        <is>
          <t>E4</t>
        </is>
      </c>
      <c r="M54" t="inlineStr">
        <is>
          <t>Pendiente</t>
        </is>
      </c>
    </row>
    <row r="56">
      <c r="A56" t="inlineStr">
        <is>
          <t>Total</t>
        </is>
      </c>
      <c r="J56">
        <f>SUM(J2:J54)</f>
        <v/>
      </c>
      <c r="K56">
        <f>SUM(K2:K54)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2026-10-01T15:50:59Z</dcterms:created>
  <dcterms:modified xmlns:dcterms="http://purl.org/dc/terms/" xmlns:xsi="http://www.w3.org/2001/XMLSchema-instance" xsi:type="dcterms:W3CDTF">2026-10-03T11:58:53Z</dcterms:modified>
</cp:coreProperties>
</file>